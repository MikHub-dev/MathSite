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Répartition" sheetId="2" state="visible" r:id="rId4"/>
    <sheet name="Détail par formule" sheetId="3" state="visible" r:id="rId5"/>
    <sheet name="Non répartis" sheetId="4" state="visible" r:id="rId6"/>
  </sheets>
  <definedNames>
    <definedName function="false" hidden="true" localSheetId="2" name="_xlnm._FilterDatabase" vbProcedure="false">'Détail par formule'!$A$1:$G$160</definedName>
    <definedName function="false" hidden="true" localSheetId="1" name="_xlnm._FilterDatabase" vbProcedure="false">Répartition!$A$1:$J$27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<sst xmlns="http://schemas.openxmlformats.org/spreadsheetml/2006/main" count="1399" uniqueCount="659">
  <si>
    <t xml:space="preserve">Graphiques → Banque d'images : répartition par niveau</t>
  </si>
  <si>
    <t xml:space="preserve">Niveau</t>
  </si>
  <si>
    <t xml:space="preserve">Images à ranger</t>
  </si>
  <si>
    <t xml:space="preserve">Dossier</t>
  </si>
  <si>
    <t xml:space="preserve">Dernier numéro déjà présent</t>
  </si>
  <si>
    <t xml:space="preserve">Seconde</t>
  </si>
  <si>
    <t xml:space="preserve">svg/lycee/</t>
  </si>
  <si>
    <t xml:space="preserve">Première</t>
  </si>
  <si>
    <t xml:space="preserve">par domaine : algèbre 6, analyse 8, géométrie 6, probabilités 6</t>
  </si>
  <si>
    <t xml:space="preserve">Terminale</t>
  </si>
  <si>
    <t xml:space="preserve">L1</t>
  </si>
  <si>
    <t xml:space="preserve">svg/L1/</t>
  </si>
  <si>
    <t xml:space="preserve">L2</t>
  </si>
  <si>
    <t xml:space="preserve">svg/L2/</t>
  </si>
  <si>
    <t xml:space="preserve">L3</t>
  </si>
  <si>
    <t xml:space="preserve">svg/L3/</t>
  </si>
  <si>
    <t xml:space="preserve">M1</t>
  </si>
  <si>
    <t xml:space="preserve">svg/M1/</t>
  </si>
  <si>
    <t xml:space="preserve">M2</t>
  </si>
  <si>
    <t xml:space="preserve">svg/M2/</t>
  </si>
  <si>
    <t xml:space="preserve">Total à ranger</t>
  </si>
  <si>
    <t xml:space="preserve">Non répartis</t>
  </si>
  <si>
    <t xml:space="preserve">Uniquement collège</t>
  </si>
  <si>
    <t xml:space="preserve">Format PNG</t>
  </si>
  <si>
    <t xml:space="preserve">Physique / Informatique</t>
  </si>
  <si>
    <t xml:space="preserve">Total images distinctes</t>
  </si>
  <si>
    <t xml:space="preserve">Règles appliquées</t>
  </si>
  <si>
    <t xml:space="preserve">1. Chaque graphique est associé à ses formules (graphics-data.js). Le niveau d'une formule est lu dans « Verdict par fiche » du fichier integration_221_vers_encyclopedie_v2.xlsx (ID historique + formule).</t>
  </si>
  <si>
    <t xml:space="preserve">2. Une image sert souvent à plusieurs formules de niveaux différents : elle est rangée UNE SEULE FOIS, au plus bas niveau de la banque où l'une de ses formules apparaît. Les autres niveaux sont indiqués dans « Aussi utilisée en ».</t>
  </si>
  <si>
    <t xml:space="preserve">3. Le niveau Collège n'a pas de vignette dans la banque : il est ignoré pour choisir le niveau d'accueil (une image collège + lycée est rangée au lycée).</t>
  </si>
  <si>
    <t xml:space="preserve">4. Nommage : &lt;niveau&gt;_&lt;nn&gt;_&lt;nom&gt;.svg, numérotation qui continue après les fichiers déjà présents (colonne D). Première : premiere_&lt;domaine&gt;_&lt;nn&gt;_&lt;nom&gt;.svg comme les fichiers existants. Le domaine est celui de la fiche ; pour une fiche « Olympiades », c'est le domaine dominant des autres fiches qui utilisent la même image.</t>
  </si>
  <si>
    <t xml:space="preserve">5. Le nom (après le numéro) est le titre de l'image, sans accents, en minuscules, séparé par des tirets.</t>
  </si>
  <si>
    <t xml:space="preserve">6. Licences : ces images viennent de Wikimedia Commons sous licences libres qui demandent en général de citer l'auteur. Chaque ligne garde le lien vers la page source (colonne « Page source »).</t>
  </si>
  <si>
    <t xml:space="preserve">Cellules en bleu : valeurs reprises des fichiers déjà présents dans la banque (svg-data.js du 19/09/2026).</t>
  </si>
  <si>
    <t xml:space="preserve">Nom du fichier</t>
  </si>
  <si>
    <t xml:space="preserve">Nom affiché dans la banque</t>
  </si>
  <si>
    <t xml:space="preserve">Titre de l'image</t>
  </si>
  <si>
    <t xml:space="preserve">Aussi utilisée en</t>
  </si>
  <si>
    <t xml:space="preserve">Fiche de rattachement</t>
  </si>
  <si>
    <t xml:space="preserve">Formule(s) associée(s)</t>
  </si>
  <si>
    <t xml:space="preserve">Fichier Wikimedia Commons</t>
  </si>
  <si>
    <t xml:space="preserve">Page source</t>
  </si>
  <si>
    <t xml:space="preserve">seconde_13_diagramme-des-ensembles-de-nombres-n-z-q-r.svg</t>
  </si>
  <si>
    <t xml:space="preserve">diagramme-des-ensembles-de-nombres-n-z-q-r</t>
  </si>
  <si>
    <t xml:space="preserve">Diagramme des ensembles de nombres (N ⊂ Z ⊂ Q ⊂ R)</t>
  </si>
  <si>
    <t xml:space="preserve">L1, L2</t>
  </si>
  <si>
    <t xml:space="preserve">100 – Nombres réels</t>
  </si>
  <si>
    <t xml:space="preserve">ℝ = ensemble des nombres réels | Propriétés : ordre total, densité, complétude</t>
  </si>
  <si>
    <t xml:space="preserve">Set_of_real_numbers_(diagram).svg</t>
  </si>
  <si>
    <t xml:space="preserve">https://commons.wikimedia.org/wiki/File:Set_of_real_numbers_(diagram).svg</t>
  </si>
  <si>
    <t xml:space="preserve">seconde_14_le-vecteur-ab.svg</t>
  </si>
  <si>
    <t xml:space="preserve">le-vecteur-ab</t>
  </si>
  <si>
    <t xml:space="preserve">Le vecteur AB</t>
  </si>
  <si>
    <t xml:space="preserve">6e, 5e, 3e, Première, Terminale, L3, M1, M2</t>
  </si>
  <si>
    <t xml:space="preserve">201 – Vecteurs</t>
  </si>
  <si>
    <t xml:space="preserve">→AB = (xB - xA, yB - yA) | Norme : ||u|| = √(x² + y²) | u·v = x1x2 + y1y2</t>
  </si>
  <si>
    <t xml:space="preserve">Vector_from_A_to_B.svg</t>
  </si>
  <si>
    <t xml:space="preserve">https://commons.wikimedia.org/wiki/File:Vector_from_A_to_B.svg</t>
  </si>
  <si>
    <t xml:space="preserve">seconde_15_cercle-dans-un-repere-cartesien.svg</t>
  </si>
  <si>
    <t xml:space="preserve">cercle-dans-un-repere-cartesien</t>
  </si>
  <si>
    <t xml:space="preserve">Cercle dans un repère cartésien</t>
  </si>
  <si>
    <t xml:space="preserve">4e, Première, Terminale, L1, L2, L3, M2</t>
  </si>
  <si>
    <t xml:space="preserve">204 – Cercles</t>
  </si>
  <si>
    <t xml:space="preserve">(x - a)² + (y - b)² = r²</t>
  </si>
  <si>
    <t xml:space="preserve">Cartesian-coordinate-system-with-circle.svg</t>
  </si>
  <si>
    <t xml:space="preserve">https://commons.wikimedia.org/wiki/File:Cartesian-coordinate-system-with-circle.svg</t>
  </si>
  <si>
    <t xml:space="preserve">premiere_algebre_07_equation-aux-valeurs-propres.svg</t>
  </si>
  <si>
    <t xml:space="preserve">equation-aux-valeurs-propres</t>
  </si>
  <si>
    <t xml:space="preserve">Équation aux valeurs propres</t>
  </si>
  <si>
    <t xml:space="preserve">Terminale, L1, L2, L3, M2</t>
  </si>
  <si>
    <t xml:space="preserve">605 – Récurrences</t>
  </si>
  <si>
    <t xml:space="preserve">u_{n+1} = f(u_n) | Méthode de descente infinie</t>
  </si>
  <si>
    <t xml:space="preserve">Eigenvalue_equation.svg</t>
  </si>
  <si>
    <t xml:space="preserve">https://commons.wikimedia.org/wiki/File:Eigenvalue_equation.svg</t>
  </si>
  <si>
    <t xml:space="preserve">premiere_algebre_08_table-de-cayley-du-groupe-symetrique-s3.svg</t>
  </si>
  <si>
    <t xml:space="preserve">table-de-cayley-du-groupe-symetrique-s3</t>
  </si>
  <si>
    <t xml:space="preserve">Table de Cayley du groupe symétrique S3</t>
  </si>
  <si>
    <t xml:space="preserve">Terminale, L2, M1, M2</t>
  </si>
  <si>
    <t xml:space="preserve">614 – Symétrisation</t>
  </si>
  <si>
    <t xml:space="preserve">Symétrisation → réduction du problème | AM-GM pour symétriser</t>
  </si>
  <si>
    <t xml:space="preserve">Cayley_table_Group_S3_RK01.svg</t>
  </si>
  <si>
    <t xml:space="preserve">https://commons.wikimedia.org/wiki/File:Cayley_table_Group_S3_RK01.svg</t>
  </si>
  <si>
    <t xml:space="preserve">premiere_analyse_09_le-theoreme-des-accroissements-finis.svg</t>
  </si>
  <si>
    <t xml:space="preserve">le-theoreme-des-accroissements-finis</t>
  </si>
  <si>
    <t xml:space="preserve">Le théorème des accroissements finis</t>
  </si>
  <si>
    <t xml:space="preserve">Terminale, L1</t>
  </si>
  <si>
    <t xml:space="preserve">4 – Dérivation</t>
  </si>
  <si>
    <t xml:space="preserve">f'(x) = lim_{h→0} (f(x+h)-f(x))/h | (fg)' = f'g + fg' | (f/g)' = (f'g - fg')/g²</t>
  </si>
  <si>
    <t xml:space="preserve">Mvt2.svg</t>
  </si>
  <si>
    <t xml:space="preserve">https://commons.wikimedia.org/wiki/File:Mvt2.svg</t>
  </si>
  <si>
    <t xml:space="preserve">premiere_geometrie_07_distance-d-un-point-a-une-droite.svg</t>
  </si>
  <si>
    <t xml:space="preserve">distance-d-un-point-a-une-droite</t>
  </si>
  <si>
    <t xml:space="preserve">Distance d'un point à une droite</t>
  </si>
  <si>
    <t xml:space="preserve">—</t>
  </si>
  <si>
    <t xml:space="preserve">200 – Points, droites et plans</t>
  </si>
  <si>
    <t xml:space="preserve">Distance point–droite : |ax0 + by0 + c| / √(a² + b²)</t>
  </si>
  <si>
    <t xml:space="preserve">Distance_point_line.svg</t>
  </si>
  <si>
    <t xml:space="preserve">https://commons.wikimedia.org/wiki/File:Distance_point_line.svg</t>
  </si>
  <si>
    <t xml:space="preserve">premiere_geometrie_08_fonctions-trigonometriques-sur-le-cercle-unite.svg</t>
  </si>
  <si>
    <t xml:space="preserve">fonctions-trigonometriques-sur-le-cercle-unite</t>
  </si>
  <si>
    <t xml:space="preserve">Fonctions trigonométriques sur le cercle unité</t>
  </si>
  <si>
    <t xml:space="preserve">3e, Terminale, L1, L2, L3, M1, M2</t>
  </si>
  <si>
    <t xml:space="preserve">203 – Produit scalaire</t>
  </si>
  <si>
    <t xml:space="preserve">u·v = ||u|| ||v|| cos θ | u·v = x1x2 + y1y2 (plan) | Orthogonalité : u·v = 0</t>
  </si>
  <si>
    <t xml:space="preserve">Circle-trig6.svg</t>
  </si>
  <si>
    <t xml:space="preserve">https://commons.wikimedia.org/wiki/File:Circle-trig6.svg</t>
  </si>
  <si>
    <t xml:space="preserve">premiere_geometrie_09_theoreme-de-pythagore.svg</t>
  </si>
  <si>
    <t xml:space="preserve">theoreme-de-pythagore</t>
  </si>
  <si>
    <t xml:space="preserve">Théorème de Pythagore</t>
  </si>
  <si>
    <t xml:space="preserve">4e, 3e</t>
  </si>
  <si>
    <t xml:space="preserve">610 – Géométrie olympique</t>
  </si>
  <si>
    <t xml:space="preserve">Pythagore | Puissance d'un point | Angles inscrits</t>
  </si>
  <si>
    <t xml:space="preserve">Pythagorean-theorem.svg</t>
  </si>
  <si>
    <t xml:space="preserve">https://commons.wikimedia.org/wiki/File:Pythagorean-theorem.svg</t>
  </si>
  <si>
    <t xml:space="preserve">premiere_probabilites_07_diagramme-de-probabilite-conditionnelle.svg</t>
  </si>
  <si>
    <t xml:space="preserve">diagramme-de-probabilite-conditionnelle</t>
  </si>
  <si>
    <t xml:space="preserve">Diagramme de probabilité conditionnelle</t>
  </si>
  <si>
    <t xml:space="preserve">303 – Probabilités conditionnelles</t>
  </si>
  <si>
    <t xml:space="preserve">P(A|B) = P(A ∩ B) / P(B) | P(A ∩ B) = P(A|B) P(B)</t>
  </si>
  <si>
    <t xml:space="preserve">Conditional_probability.svg</t>
  </si>
  <si>
    <t xml:space="preserve">https://commons.wikimedia.org/wiki/File:Conditional_probability.svg</t>
  </si>
  <si>
    <t xml:space="preserve">premiere_probabilites_08_fonction-de-masse-d-une-loi-binomiale.svg</t>
  </si>
  <si>
    <t xml:space="preserve">fonction-de-masse-d-une-loi-binomiale</t>
  </si>
  <si>
    <t xml:space="preserve">Fonction de masse d'une loi binomiale</t>
  </si>
  <si>
    <t xml:space="preserve">Terminale, M1</t>
  </si>
  <si>
    <t xml:space="preserve">307 – Lois usuelles discrètes</t>
  </si>
  <si>
    <t xml:space="preserve">Loi de Bernoulli : P(X=1)=p, P(X=0)=1-p | Loi binomiale : P(X=k)=C(n,k)p^k(1-p)^{n-k} | Loi géométrique : P(X=k)=(1-p)^{k-1}p</t>
  </si>
  <si>
    <t xml:space="preserve">Binomial_distribution_pmf.svg</t>
  </si>
  <si>
    <t xml:space="preserve">https://commons.wikimedia.org/wiki/File:Binomial_distribution_pmf.svg</t>
  </si>
  <si>
    <t xml:space="preserve">premiere_probabilites_09_intersection-de-deux-ensembles-a-et-b.svg</t>
  </si>
  <si>
    <t xml:space="preserve">intersection-de-deux-ensembles-a-et-b</t>
  </si>
  <si>
    <t xml:space="preserve">Intersection de deux ensembles A et B</t>
  </si>
  <si>
    <t xml:space="preserve">Terminale, L3</t>
  </si>
  <si>
    <t xml:space="preserve">308 – Indépendance</t>
  </si>
  <si>
    <t xml:space="preserve">A et B indépendants ⇔ P(A ∩ B) = P(A)P(B) | X et Y indépendantes ⇔ P(X=x, Y=y) = P(X=x)P(Y=y)</t>
  </si>
  <si>
    <t xml:space="preserve">Venn_A_intersect_B.svg</t>
  </si>
  <si>
    <t xml:space="preserve">https://commons.wikimedia.org/wiki/File:Venn_A_intersect_B.svg</t>
  </si>
  <si>
    <t xml:space="preserve">terminale_09_l-integrale-comme-aire-sous-la-courbe.svg</t>
  </si>
  <si>
    <t xml:space="preserve">l-integrale-comme-aire-sous-la-courbe</t>
  </si>
  <si>
    <t xml:space="preserve">L'intégrale comme aire sous la courbe</t>
  </si>
  <si>
    <t xml:space="preserve">L1, M1</t>
  </si>
  <si>
    <t xml:space="preserve">5 – Intégration</t>
  </si>
  <si>
    <t xml:space="preserve">∫_a^b f(x) dx = F(b) - F(a) | ∫ x dx = x²/2 | Changement de variable : ∫ f(g(t)) g'(t) dt</t>
  </si>
  <si>
    <t xml:space="preserve">Integral_as_region_under_curve.svg</t>
  </si>
  <si>
    <t xml:space="preserve">https://commons.wikimedia.org/wiki/File:Integral_as_region_under_curve.svg</t>
  </si>
  <si>
    <t xml:space="preserve">terminale_10_representation-d-un-nombre-complexe-diagramme-d-argand.svg</t>
  </si>
  <si>
    <t xml:space="preserve">representation-d-un-nombre-complexe-diagramme-d-argand</t>
  </si>
  <si>
    <t xml:space="preserve">Représentation d'un nombre complexe (diagramme d'Argand)</t>
  </si>
  <si>
    <t xml:space="preserve">3e, L2, L3</t>
  </si>
  <si>
    <t xml:space="preserve">8 – Analyse complexe</t>
  </si>
  <si>
    <t xml:space="preserve">z = x + iy | ∮ f(z) dz</t>
  </si>
  <si>
    <t xml:space="preserve">Complex_number_illustration.svg</t>
  </si>
  <si>
    <t xml:space="preserve">https://commons.wikimedia.org/wiki/File:Complex_number_illustration.svg</t>
  </si>
  <si>
    <t xml:space="preserve">terminale_11_formule-d-euler-dans-le-plan-complexe.svg</t>
  </si>
  <si>
    <t xml:space="preserve">formule-d-euler-dans-le-plan-complexe</t>
  </si>
  <si>
    <t xml:space="preserve">Formule d'Euler dans le plan complexe</t>
  </si>
  <si>
    <t xml:space="preserve">e^{iθ} = cos θ + i sin θ</t>
  </si>
  <si>
    <t xml:space="preserve">Euler's_formula.svg</t>
  </si>
  <si>
    <t xml:space="preserve">https://commons.wikimedia.org/wiki/File:Euler%27s_formula.svg</t>
  </si>
  <si>
    <t xml:space="preserve">terminale_12_le-groupe-cyclique-des-heures-d-une-horloge.svg</t>
  </si>
  <si>
    <t xml:space="preserve">le-groupe-cyclique-des-heures-d-une-horloge</t>
  </si>
  <si>
    <t xml:space="preserve">Le groupe cyclique des heures d'une horloge</t>
  </si>
  <si>
    <t xml:space="preserve">L1, L2, L3, M1, M2</t>
  </si>
  <si>
    <t xml:space="preserve">113 – Arithmétique modulaire</t>
  </si>
  <si>
    <t xml:space="preserve">a ≡ b (mod n) | ℤ/nℤ</t>
  </si>
  <si>
    <t xml:space="preserve">Clock_group.svg</t>
  </si>
  <si>
    <t xml:space="preserve">https://commons.wikimedia.org/wiki/File:Clock_group.svg</t>
  </si>
  <si>
    <t xml:space="preserve">terminale_13_principe-du-chiffrement-a-cle-publique.svg</t>
  </si>
  <si>
    <t xml:space="preserve">principe-du-chiffrement-a-cle-publique</t>
  </si>
  <si>
    <t xml:space="preserve">Principe du chiffrement à clé publique</t>
  </si>
  <si>
    <t xml:space="preserve">L3, M1</t>
  </si>
  <si>
    <t xml:space="preserve">114 – Cryptographie</t>
  </si>
  <si>
    <t xml:space="preserve">RSA : c ≡ m^e (mod n) | Diffie-Hellman</t>
  </si>
  <si>
    <t xml:space="preserve">Public_key_encryption.svg</t>
  </si>
  <si>
    <t xml:space="preserve">https://commons.wikimedia.org/wiki/File:Public_key_encryption.svg</t>
  </si>
  <si>
    <t xml:space="preserve">terminale_14_le-determinant-comme-volume-d-un-parallelepipede.svg</t>
  </si>
  <si>
    <t xml:space="preserve">le-determinant-comme-volume-d-un-parallelepipede</t>
  </si>
  <si>
    <t xml:space="preserve">Le déterminant comme volume d'un parallélépipède</t>
  </si>
  <si>
    <t xml:space="preserve">217 – Géométrie dans l'espace</t>
  </si>
  <si>
    <t xml:space="preserve">Plan : ax + by + cz + d = 0 | Droite : A + t u (u ≠ 0)</t>
  </si>
  <si>
    <t xml:space="preserve">Determinant_parallelepiped.svg</t>
  </si>
  <si>
    <t xml:space="preserve">https://commons.wikimedia.org/wiki/File:Determinant_parallelepiped.svg</t>
  </si>
  <si>
    <t xml:space="preserve">terminale_15_un-graphe-oriente.svg</t>
  </si>
  <si>
    <t xml:space="preserve">un-graphe-oriente</t>
  </si>
  <si>
    <t xml:space="preserve">Un graphe orienté</t>
  </si>
  <si>
    <t xml:space="preserve">L3, M1, M2</t>
  </si>
  <si>
    <t xml:space="preserve">607 – Graphes olympiques</t>
  </si>
  <si>
    <t xml:space="preserve">Connexité | Cycles | Colorations</t>
  </si>
  <si>
    <t xml:space="preserve">Directed.svg</t>
  </si>
  <si>
    <t xml:space="preserve">https://commons.wikimedia.org/wiki/File:Directed.svg</t>
  </si>
  <si>
    <t xml:space="preserve">terminale_16_polygone-regulier-annote-hexagone.svg</t>
  </si>
  <si>
    <t xml:space="preserve">polygone-regulier-annote-hexagone</t>
  </si>
  <si>
    <t xml:space="preserve">Polygone régulier annoté (hexagone)</t>
  </si>
  <si>
    <t xml:space="preserve">4e, M1</t>
  </si>
  <si>
    <t xml:space="preserve">613 – Pavages</t>
  </si>
  <si>
    <t xml:space="preserve">Pavage = partition du plan | Invariants de parité</t>
  </si>
  <si>
    <t xml:space="preserve">Regular_polygon_6_annotated.svg</t>
  </si>
  <si>
    <t xml:space="preserve">https://commons.wikimedia.org/wiki/File:Regular_polygon_6_annotated.svg</t>
  </si>
  <si>
    <t xml:space="preserve">terminale_17_un-arbre-avl-equilibre.svg</t>
  </si>
  <si>
    <t xml:space="preserve">un-arbre-avl-equilibre</t>
  </si>
  <si>
    <t xml:space="preserve">Un arbre AVL équilibré</t>
  </si>
  <si>
    <t xml:space="preserve">622 – Stratégies de preuve avancées</t>
  </si>
  <si>
    <t xml:space="preserve">Récurrence forte | Descente infinie de Fermat | Principe extrémal</t>
  </si>
  <si>
    <t xml:space="preserve">AVLtreef.svg</t>
  </si>
  <si>
    <t xml:space="preserve">https://commons.wikimedia.org/wiki/File:AVLtreef.svg</t>
  </si>
  <si>
    <t xml:space="preserve">l1_60_la-fonction-sinus-et-son-polynome-de-taylor.svg</t>
  </si>
  <si>
    <t xml:space="preserve">la-fonction-sinus-et-son-polynome-de-taylor</t>
  </si>
  <si>
    <t xml:space="preserve">La fonction sinus et son polynôme de Taylor</t>
  </si>
  <si>
    <t xml:space="preserve">10 – Développements limités</t>
  </si>
  <si>
    <t xml:space="preserve">sin x = x - x³/6 + ... | e^x = 1 + x + x²/2 + ... | ln(1+x) = x - x²/2 + ...</t>
  </si>
  <si>
    <t xml:space="preserve">Taylorsine.svg</t>
  </si>
  <si>
    <t xml:space="preserve">https://commons.wikimedia.org/wiki/File:Taylorsine.svg</t>
  </si>
  <si>
    <t xml:space="preserve">l1_61_image-d-une-application-lineaire-dans-le-plan.svg</t>
  </si>
  <si>
    <t xml:space="preserve">image-d-une-application-lineaire-dans-le-plan</t>
  </si>
  <si>
    <t xml:space="preserve">Image d'une application linéaire dans le plan</t>
  </si>
  <si>
    <t xml:space="preserve">106 – Applications linéaires</t>
  </si>
  <si>
    <t xml:space="preserve">f(u+v)=f(u)+f(v) | f(λu)=λf(u) | Mat(f) dépend de la base</t>
  </si>
  <si>
    <t xml:space="preserve">Image_of_map_f_in_real_plane.svg</t>
  </si>
  <si>
    <t xml:space="preserve">https://commons.wikimedia.org/wiki/File:Image_of_map_f_in_real_plane.svg</t>
  </si>
  <si>
    <t xml:space="preserve">l2_09_les-trois-sections-coniques-d-un-double-cone.svg</t>
  </si>
  <si>
    <t xml:space="preserve">les-trois-sections-coniques-d-un-double-cone</t>
  </si>
  <si>
    <t xml:space="preserve">Les trois sections coniques d'un double cône</t>
  </si>
  <si>
    <t xml:space="preserve">14 – Fonctions de plusieurs variables</t>
  </si>
  <si>
    <t xml:space="preserve">Gradient ∇f | Théorème de Schwarz : ∂²f/∂x∂y=∂²f/∂y∂x | Multiplicateurs de Lagrange</t>
  </si>
  <si>
    <t xml:space="preserve">Conic_sections_with_plane.svg</t>
  </si>
  <si>
    <t xml:space="preserve">https://commons.wikimedia.org/wiki/File:Conic_sections_with_plane.svg</t>
  </si>
  <si>
    <t xml:space="preserve">l2_10_boules-unites-pour-differentes-normes.svg</t>
  </si>
  <si>
    <t xml:space="preserve">boules-unites-pour-differentes-normes</t>
  </si>
  <si>
    <t xml:space="preserve">Boules unités pour différentes normes</t>
  </si>
  <si>
    <t xml:space="preserve">700 – Espaces vectoriels normés</t>
  </si>
  <si>
    <t xml:space="preserve">Norme : ||x|| | Distance : d(x,y)=||x−y|| | Normes usuelles : ||x||₁, ||x||₂, ||x||∞</t>
  </si>
  <si>
    <t xml:space="preserve">Vector_norms.svg</t>
  </si>
  <si>
    <t xml:space="preserve">https://commons.wikimedia.org/wiki/File:Vector_norms.svg</t>
  </si>
  <si>
    <t xml:space="preserve">l3_09_graphe-de-la-fonction-gamma.svg</t>
  </si>
  <si>
    <t xml:space="preserve">graphe-de-la-fonction-gamma</t>
  </si>
  <si>
    <t xml:space="preserve">Graphe de la fonction Gamma</t>
  </si>
  <si>
    <t xml:space="preserve">24 – Fonctions spéciales (Gamma, Bêta, Zêta)</t>
  </si>
  <si>
    <t xml:space="preserve">Γ(x)=∫₀^∞ t^{x-1}e^{-t}dt | Γ(n+1)=n! | ζ(s)=Σ1/n^s</t>
  </si>
  <si>
    <t xml:space="preserve">Gamma_plot.svg</t>
  </si>
  <si>
    <t xml:space="preserve">https://commons.wikimedia.org/wiki/File:Gamma_plot.svg</t>
  </si>
  <si>
    <t xml:space="preserve">ID fiche</t>
  </si>
  <si>
    <t xml:space="preserve">Fiche</t>
  </si>
  <si>
    <t xml:space="preserve">Catégorie</t>
  </si>
  <si>
    <t xml:space="preserve">Formule(s) illustrée(s)</t>
  </si>
  <si>
    <t xml:space="preserve">Niveau(x) d'après le fichier de correspondances</t>
  </si>
  <si>
    <t xml:space="preserve">Image (Commons)</t>
  </si>
  <si>
    <t xml:space="preserve">Rangée dans la banque</t>
  </si>
  <si>
    <t xml:space="preserve">Fonctions</t>
  </si>
  <si>
    <t xml:space="preserve">Analyse</t>
  </si>
  <si>
    <t xml:space="preserve">f : A → B | f(x + h) - f(x) | Composition : (f ∘ g)(x) = f(g(x))</t>
  </si>
  <si>
    <t xml:space="preserve">Seconde, Première, Terminale</t>
  </si>
  <si>
    <t xml:space="preserve">Polynomialdeg2.png</t>
  </si>
  <si>
    <t xml:space="preserve">— (image PNG, pas SVG)</t>
  </si>
  <si>
    <t xml:space="preserve">Limites</t>
  </si>
  <si>
    <t xml:space="preserve">lim_{x→a} f(x) = L | lim_{x→∞} f(x) | lim_{x→0} sin(x)/x = 1</t>
  </si>
  <si>
    <t xml:space="preserve">svg/lycee/premiere_geometrie_08_fonctions-trigonometriques-sur-le-cercle-unite.svg</t>
  </si>
  <si>
    <t xml:space="preserve">Continuité</t>
  </si>
  <si>
    <t xml:space="preserve">f continue en a ⇔ lim_{x→a} f(x) = f(a) | Théorème des valeurs intermédiaires</t>
  </si>
  <si>
    <t xml:space="preserve">Polynomialdeg3.png</t>
  </si>
  <si>
    <t xml:space="preserve">Dérivation</t>
  </si>
  <si>
    <t xml:space="preserve">Première, Terminale</t>
  </si>
  <si>
    <t xml:space="preserve">svg/lycee/premiere_analyse_09_le-theoreme-des-accroissements-finis.svg</t>
  </si>
  <si>
    <t xml:space="preserve">Intégration</t>
  </si>
  <si>
    <t xml:space="preserve">svg/lycee/terminale_09_l-integrale-comme-aire-sous-la-courbe.svg</t>
  </si>
  <si>
    <t xml:space="preserve">Équations différentielles</t>
  </si>
  <si>
    <t xml:space="preserve">y' = ay | y' + ay = f(x) | Solution homogène + solution particulière</t>
  </si>
  <si>
    <t xml:space="preserve">svg/lycee/premiere_algebre_07_equation-aux-valeurs-propres.svg</t>
  </si>
  <si>
    <t xml:space="preserve">Séries de Fourier</t>
  </si>
  <si>
    <t xml:space="preserve">f(x) = a0 + Σ (an cos(nx) + bn sin(nx)) | an = ∫ f(x) cos(nx) dx | bn = ∫ f(x) sin(nx) dx</t>
  </si>
  <si>
    <t xml:space="preserve">Analyse complexe</t>
  </si>
  <si>
    <t xml:space="preserve">Terminale, L2</t>
  </si>
  <si>
    <t xml:space="preserve">svg/lycee/terminale_10_representation-d-un-nombre-complexe-diagramme-d-argand.svg</t>
  </si>
  <si>
    <t xml:space="preserve">svg/lycee/terminale_11_formule-d-euler-dans-le-plan-complexe.svg</t>
  </si>
  <si>
    <t xml:space="preserve">Séries entières</t>
  </si>
  <si>
    <t xml:space="preserve">Σ a_n x^n | Rayon de convergence R | Test de Cauchy</t>
  </si>
  <si>
    <t xml:space="preserve">Polynomialdeg4.png</t>
  </si>
  <si>
    <t xml:space="preserve">Développements limités</t>
  </si>
  <si>
    <t xml:space="preserve">svg/L1/l1_60_la-fonction-sinus-et-son-polynome-de-taylor.svg</t>
  </si>
  <si>
    <t xml:space="preserve">Suites et séries numériques</t>
  </si>
  <si>
    <t xml:space="preserve">Critère de Cauchy | Séries de Riemann : Σ1/n^α converge ssi α&gt;1 | Critère de d'Alembert</t>
  </si>
  <si>
    <t xml:space="preserve">Théorèmes fondamentaux de l'analyse</t>
  </si>
  <si>
    <t xml:space="preserve">Théorème de Rolle | TAF : f(b)-f(a)=f'(c)(b-a) | Théorème des valeurs intermédiaires</t>
  </si>
  <si>
    <t xml:space="preserve">Intégrale de Riemann</t>
  </si>
  <si>
    <t xml:space="preserve">∫ₐᵇ f(x)dx = F(b)-F(a) | Intégration par parties | Changement de variable</t>
  </si>
  <si>
    <t xml:space="preserve">Fonctions de plusieurs variables</t>
  </si>
  <si>
    <t xml:space="preserve">svg/L2/l2_09_les-trois-sections-coniques-d-un-double-cone.svg</t>
  </si>
  <si>
    <t xml:space="preserve">Équations différentielles linéaires</t>
  </si>
  <si>
    <t xml:space="preserve">y'+a(x)y=b(x) | Équation caractéristique : ar²+br+c=0 | X'=AX ⟹ X(t)=exp(tA)X₀</t>
  </si>
  <si>
    <t xml:space="preserve">Transformées intégrales</t>
  </si>
  <si>
    <t xml:space="preserve">Laplace : L{f}(s)=∫f(t)e^{-st}dt | Fourier : f̂(ξ)=∫f(x)e^{-2iπxξ}dx | Théorème de convolution</t>
  </si>
  <si>
    <t xml:space="preserve">Topologie générale</t>
  </si>
  <si>
    <t xml:space="preserve">Espace métrique (E,d) | Compacité : de tout recouvrement ouvert on extrait un sous-recouvrement fini | Théorème du point fixe de Banach</t>
  </si>
  <si>
    <t xml:space="preserve">svg/lycee/seconde_15_cercle-dans-un-repere-cartesien.svg</t>
  </si>
  <si>
    <t xml:space="preserve">Mesure et intégrale de Lebesgue</t>
  </si>
  <si>
    <t xml:space="preserve">Théorème de convergence dominée | Lemme de Fatou | Théorème de Fubini-Tonelli</t>
  </si>
  <si>
    <t xml:space="preserve">Espaces de Hilbert et opérateurs</t>
  </si>
  <si>
    <t xml:space="preserve">Inégalité de Cauchy-Schwarz : |&lt;x,y&gt;|≤||x||·||y|| | Théorème de projection orthogonale | Théorème de représentation de Riesz</t>
  </si>
  <si>
    <t xml:space="preserve">Vecteur_bases_ond_et_qcq.png</t>
  </si>
  <si>
    <t xml:space="preserve">Analyse complexe avancée</t>
  </si>
  <si>
    <t xml:space="preserve">Formule intégrale de Cauchy | Théorème des résidus | Développement en série de Laurent</t>
  </si>
  <si>
    <t xml:space="preserve">Distributions et espaces de Sobolev</t>
  </si>
  <si>
    <t xml:space="preserve">Dérivée au sens des distributions | Distribution de Dirac δ | Espace de Sobolev Wᵏ,ᵖ</t>
  </si>
  <si>
    <t xml:space="preserve">Standard_Normal_Distribution.png</t>
  </si>
  <si>
    <t xml:space="preserve">Équations aux dérivées partielles</t>
  </si>
  <si>
    <t xml:space="preserve">Équation de la chaleur : ∂u/∂t=Δu | Équation des ondes : ∂²u/∂t²=c²Δu | Équation de Laplace : Δu=0</t>
  </si>
  <si>
    <t xml:space="preserve">Calcul des variations et optimisation</t>
  </si>
  <si>
    <t xml:space="preserve">Équations d'Euler-Lagrange | Conditions de Karush-Kuhn-Tucker (KKT) | Multiplicateurs de Lagrange</t>
  </si>
  <si>
    <t xml:space="preserve">Fonctions spéciales (Gamma, Bêta, Zêta)</t>
  </si>
  <si>
    <t xml:space="preserve">svg/L3/l3_09_graphe-de-la-fonction-gamma.svg</t>
  </si>
  <si>
    <t xml:space="preserve">Nombres réels</t>
  </si>
  <si>
    <t xml:space="preserve">Algèbre</t>
  </si>
  <si>
    <t xml:space="preserve">Seconde, L1</t>
  </si>
  <si>
    <t xml:space="preserve">svg/lycee/seconde_13_diagramme-des-ensembles-de-nombres-n-z-q-r.svg</t>
  </si>
  <si>
    <t xml:space="preserve">Nombres complexes</t>
  </si>
  <si>
    <t xml:space="preserve">z = x + iy | i² = -1 | |z| = √(x² + y²)</t>
  </si>
  <si>
    <t xml:space="preserve">Polynômes</t>
  </si>
  <si>
    <t xml:space="preserve">P(x) = a_n x^n + ... + a_0</t>
  </si>
  <si>
    <t xml:space="preserve">P'(x) = Σ k a_k x^{k-1}</t>
  </si>
  <si>
    <t xml:space="preserve">Racines : P(x)=0</t>
  </si>
  <si>
    <t xml:space="preserve">Matrices</t>
  </si>
  <si>
    <t xml:space="preserve">A ∈ M_{n×n}(ℝ)</t>
  </si>
  <si>
    <t xml:space="preserve">Matrix.png</t>
  </si>
  <si>
    <t xml:space="preserve">det(A) | A^{-1} si det(A) ≠ 0</t>
  </si>
  <si>
    <t xml:space="preserve">svg/lycee/terminale_14_le-determinant-comme-volume-d-un-parallelepipede.svg</t>
  </si>
  <si>
    <t xml:space="preserve">Espaces vectoriels</t>
  </si>
  <si>
    <t xml:space="preserve">E espace vectoriel sur K | Base : (e1,...,en) | Dimension : dim(E)</t>
  </si>
  <si>
    <t xml:space="preserve">Déterminant</t>
  </si>
  <si>
    <t xml:space="preserve">det(A) | det(AB) = det(A) det(B) | A inversible ⇔ det(A) ≠ 0</t>
  </si>
  <si>
    <t xml:space="preserve">Applications linéaires</t>
  </si>
  <si>
    <t xml:space="preserve">svg/L1/l1_61_image-d-une-application-lineaire-dans-le-plan.svg</t>
  </si>
  <si>
    <t xml:space="preserve">Valeurs propres</t>
  </si>
  <si>
    <t xml:space="preserve">A v = λ v | det(A - λI) = 0</t>
  </si>
  <si>
    <t xml:space="preserve">Diagonalisation</t>
  </si>
  <si>
    <t xml:space="preserve">A = PDP^{-1}</t>
  </si>
  <si>
    <t xml:space="preserve">D diag(λ1,...,λn)</t>
  </si>
  <si>
    <t xml:space="preserve">Formes quadratiques</t>
  </si>
  <si>
    <t xml:space="preserve">Q(x)=xᵀAx | Signature de Sylvester</t>
  </si>
  <si>
    <t xml:space="preserve">Groupes</t>
  </si>
  <si>
    <t xml:space="preserve">G ensemble + opération | Associativité</t>
  </si>
  <si>
    <t xml:space="preserve">svg/lycee/premiere_algebre_08_table-de-cayley-du-groupe-symetrique-s3.svg</t>
  </si>
  <si>
    <t xml:space="preserve">Identité, inverse</t>
  </si>
  <si>
    <t xml:space="preserve">svg/lycee/terminale_12_le-groupe-cyclique-des-heures-d-une-horloge.svg</t>
  </si>
  <si>
    <t xml:space="preserve">Anneaux</t>
  </si>
  <si>
    <t xml:space="preserve">(A,+,×) | Distributivité</t>
  </si>
  <si>
    <t xml:space="preserve">Corps</t>
  </si>
  <si>
    <t xml:space="preserve">K corps | ℚ, ℝ, ℂ</t>
  </si>
  <si>
    <t xml:space="preserve">Arithmétique modulaire</t>
  </si>
  <si>
    <t xml:space="preserve">Cryptographie</t>
  </si>
  <si>
    <t xml:space="preserve">svg/lycee/terminale_13_principe-du-chiffrement-a-cle-publique.svg</t>
  </si>
  <si>
    <t xml:space="preserve">Arithmétique avancée</t>
  </si>
  <si>
    <t xml:space="preserve">Théorème de Bézout : au+bv=pgcd(a,b) | Petit théorème de Fermat : a^p≡a (mod p) | Théorème chinois des restes</t>
  </si>
  <si>
    <t xml:space="preserve">Structures algébriques : groupes, anneaux, corps</t>
  </si>
  <si>
    <t xml:space="preserve">Groupe (G,*) | Sous-groupe, morphisme de groupes | Théorème de Lagrange : |H| divise |G|</t>
  </si>
  <si>
    <t xml:space="preserve">Réduction des endomorphismes</t>
  </si>
  <si>
    <t xml:space="preserve">Polynôme caractéristique : χ_A(λ)=det(A−λI) | Théorème de Cayley-Hamilton | Réduction de Jordan</t>
  </si>
  <si>
    <t xml:space="preserve">L2, L3</t>
  </si>
  <si>
    <t xml:space="preserve">Espaces euclidiens et hermitiens</t>
  </si>
  <si>
    <t xml:space="preserve">Procédé de Gram-Schmidt | Matrices orthogonales : AᵀA=I | Théorème spectral (matrices symétriques réelles)</t>
  </si>
  <si>
    <t xml:space="preserve">Théorie de Galois</t>
  </si>
  <si>
    <t xml:space="preserve">Extension de corps K⊂L | Groupe de Galois Gal(L/K) | Théorème d'Abel-Ruffini</t>
  </si>
  <si>
    <t xml:space="preserve">Modules et algèbre homologique</t>
  </si>
  <si>
    <t xml:space="preserve">Module libre | Théorème de structure des modules de type fini sur un anneau principal | Suite exacte courte</t>
  </si>
  <si>
    <t xml:space="preserve">Représentations de groupes finis</t>
  </si>
  <si>
    <t xml:space="preserve">Caractère : χ(g)=Tr(ρ(g)) | Lemme de Schur | Théorème de Maschke</t>
  </si>
  <si>
    <t xml:space="preserve">Formes quadratiques et bilinéaires</t>
  </si>
  <si>
    <t xml:space="preserve">Réduction de Gauss | Signature (p,q) | Loi d'inertie de Sylvester</t>
  </si>
  <si>
    <t xml:space="preserve">Algèbre tensorielle et multilinéaire</t>
  </si>
  <si>
    <t xml:space="preserve">Produit tensoriel V⊗W | Formes multilinéaires alternées | Déterminant comme forme n-linéaire alternée</t>
  </si>
  <si>
    <t xml:space="preserve">Corps finis et applications</t>
  </si>
  <si>
    <t xml:space="preserve">𝔽_q avec q=p^n | Groupe multiplicatif 𝔽_q* cyclique | Polynômes cyclotomiques</t>
  </si>
  <si>
    <t xml:space="preserve">Anneaux de polynômes et géométrie algébrique</t>
  </si>
  <si>
    <t xml:space="preserve">Théorème des zéros de Hilbert (Nullstellensatz) | Idéaux premiers, idéaux maximaux | Variétés algébriques</t>
  </si>
  <si>
    <t xml:space="preserve">Algèbres et groupes de Lie</t>
  </si>
  <si>
    <t xml:space="preserve">Crochet de Lie [X,Y] | Algèbre 𝔰𝔩(n) | Exponentielle de matrice exp(A)</t>
  </si>
  <si>
    <t xml:space="preserve">L2, M2</t>
  </si>
  <si>
    <t xml:space="preserve">Théorie des nombres avancée</t>
  </si>
  <si>
    <t xml:space="preserve">Fonction indicatrice d'Euler φ(n) | Théorème des nombres premiers : π(x)~x/ln(x) | Fonction zêta de Riemann ζ(s)</t>
  </si>
  <si>
    <t xml:space="preserve">Cryptographie avancée (mathématiques)</t>
  </si>
  <si>
    <t xml:space="preserve">RSA : c≡mᵉ (mod n) | Logarithme discret | Courbes elliptiques : y²=x³+ax+b</t>
  </si>
  <si>
    <t xml:space="preserve">Points, droites et plans</t>
  </si>
  <si>
    <t xml:space="preserve">Géométrie</t>
  </si>
  <si>
    <t xml:space="preserve">svg/lycee/premiere_geometrie_07_distance-d-un-point-a-une-droite.svg</t>
  </si>
  <si>
    <t xml:space="preserve">Vecteurs</t>
  </si>
  <si>
    <t xml:space="preserve">Seconde, Première</t>
  </si>
  <si>
    <t xml:space="preserve">svg/lycee/seconde_14_le-vecteur-ab.svg</t>
  </si>
  <si>
    <t xml:space="preserve">Distances et milieux</t>
  </si>
  <si>
    <t xml:space="preserve">Distance : d(A,B) = √((xB-xA)² + (yB-yA)²) | Milieu : M = ((xA+xB)/2, (yA+yB)/2)</t>
  </si>
  <si>
    <t xml:space="preserve">3e</t>
  </si>
  <si>
    <t xml:space="preserve">Produit scalaire</t>
  </si>
  <si>
    <t xml:space="preserve">Cercles</t>
  </si>
  <si>
    <t xml:space="preserve">Aire : πr²</t>
  </si>
  <si>
    <t xml:space="preserve">6e</t>
  </si>
  <si>
    <t xml:space="preserve">Circle-calc-area.svg</t>
  </si>
  <si>
    <t xml:space="preserve">— (uniquement niveau collège)</t>
  </si>
  <si>
    <t xml:space="preserve">Angles</t>
  </si>
  <si>
    <t xml:space="preserve">Somme des angles d’un triangle : 180°</t>
  </si>
  <si>
    <t xml:space="preserve">Triangle-angles.svg</t>
  </si>
  <si>
    <t xml:space="preserve">Triangles</t>
  </si>
  <si>
    <t xml:space="preserve">Pythagore : a² + b² = c² (triangle rectangle)</t>
  </si>
  <si>
    <t xml:space="preserve">4e</t>
  </si>
  <si>
    <t xml:space="preserve">svg/lycee/premiere_geometrie_09_theoreme-de-pythagore.svg</t>
  </si>
  <si>
    <t xml:space="preserve">Trigonométrie</t>
  </si>
  <si>
    <t xml:space="preserve">sin² x + cos² x = 1 | tan x = sin x / cos x | cos(a+b) = cos a cos b - sin a sin b</t>
  </si>
  <si>
    <t xml:space="preserve">3e, Première</t>
  </si>
  <si>
    <t xml:space="preserve">Quadrilatères</t>
  </si>
  <si>
    <t xml:space="preserve">Aire rectangle : L × l | Aire parallélogramme : base × hauteur</t>
  </si>
  <si>
    <t xml:space="preserve">6e, 5e</t>
  </si>
  <si>
    <t xml:space="preserve">Parallelogram_area.svg</t>
  </si>
  <si>
    <t xml:space="preserve">Nombres complexes en géométrie</t>
  </si>
  <si>
    <t xml:space="preserve">z = x + iy | Translation : z' = z + a</t>
  </si>
  <si>
    <t xml:space="preserve">Rotation : z' = e^{iθ} z</t>
  </si>
  <si>
    <t xml:space="preserve">Polygones</t>
  </si>
  <si>
    <t xml:space="preserve">Somme des angles intérieurs : (n-2) × 180° | Aire polygone régulier : (n × côté²) / (4 tan(π/n))</t>
  </si>
  <si>
    <t xml:space="preserve">svg/lycee/terminale_16_polygone-regulier-annote-hexagone.svg</t>
  </si>
  <si>
    <t xml:space="preserve">Transformations géométriques</t>
  </si>
  <si>
    <t xml:space="preserve">Translation : z' = z + a | Rotation : z' = e^{iθ} z | Homothétie : z' = k z</t>
  </si>
  <si>
    <t xml:space="preserve">Cercle circonscrit</t>
  </si>
  <si>
    <t xml:space="preserve">Centre : intersection des médiatrices | Rayon dans un triangle : R = a / (2 sin A)</t>
  </si>
  <si>
    <t xml:space="preserve">4e, Première</t>
  </si>
  <si>
    <t xml:space="preserve">Symétries</t>
  </si>
  <si>
    <t xml:space="preserve">Symétrie axiale : réflexion par rapport à une droite | Symétrie centrale : réflexion par rapport à un point</t>
  </si>
  <si>
    <t xml:space="preserve">Homothéties</t>
  </si>
  <si>
    <t xml:space="preserve">z' = k z (centre à l'origine) | Aire multipliée par k²</t>
  </si>
  <si>
    <t xml:space="preserve">3e, Terminale</t>
  </si>
  <si>
    <t xml:space="preserve">Affinités</t>
  </si>
  <si>
    <t xml:space="preserve">Transformation linéaire du plan préservant le parallélisme | Représentation par matrices 2×2 + translation</t>
  </si>
  <si>
    <t xml:space="preserve">Géométrie vectorielle</t>
  </si>
  <si>
    <t xml:space="preserve">Droite paramétrique : A + t u | Plan paramétrique : A + s u + t v</t>
  </si>
  <si>
    <t xml:space="preserve">Géométrie dans l'espace</t>
  </si>
  <si>
    <t xml:space="preserve">Sphères</t>
  </si>
  <si>
    <t xml:space="preserve">Volume : (4/3) π r³</t>
  </si>
  <si>
    <t xml:space="preserve">Inscribed_cone_sphere_cylinder.svg</t>
  </si>
  <si>
    <t xml:space="preserve">Cylindres</t>
  </si>
  <si>
    <t xml:space="preserve">Volume : V = π r² h</t>
  </si>
  <si>
    <t xml:space="preserve">5e</t>
  </si>
  <si>
    <t xml:space="preserve">Cones</t>
  </si>
  <si>
    <t xml:space="preserve">Volume : V = (1/3) π r² h</t>
  </si>
  <si>
    <t xml:space="preserve">Géométrie différentielle des courbes</t>
  </si>
  <si>
    <t xml:space="preserve">Vecteur tangent unitaire | Courbure κ | Formules de Frenet</t>
  </si>
  <si>
    <t xml:space="preserve">Géométrie différentielle des surfaces</t>
  </si>
  <si>
    <t xml:space="preserve">Première forme fondamentale | Courbure de Gauss K | Theorema Egregium</t>
  </si>
  <si>
    <t xml:space="preserve">Variétés différentiables</t>
  </si>
  <si>
    <t xml:space="preserve">Cartes et atlas | Espace tangent TₚM | Théorème de Stokes généralisé</t>
  </si>
  <si>
    <t xml:space="preserve">Topologie algébrique</t>
  </si>
  <si>
    <t xml:space="preserve">Groupe fondamental π₁(X) | Caractéristique d'Euler : V−E+F=2 | Homologie singulière</t>
  </si>
  <si>
    <t xml:space="preserve">Géométrie riemannienne</t>
  </si>
  <si>
    <t xml:space="preserve">Connexion de Levi-Civita | Tenseur de courbure de Riemann | Équation de la géodésique</t>
  </si>
  <si>
    <t xml:space="preserve">Géométrie symplectique et mécanique hamiltonienne</t>
  </si>
  <si>
    <t xml:space="preserve">Forme symplectique ω | Crochet de Poisson {f,g} | Théorème de Liouville (conservation du volume)</t>
  </si>
  <si>
    <t xml:space="preserve">Géométrie algébrique</t>
  </si>
  <si>
    <t xml:space="preserve">Courbes planes et théorème de Bézout | Diviseurs sur une courbe | Théorème de Riemann-Roch</t>
  </si>
  <si>
    <t xml:space="preserve">Géométrie projective</t>
  </si>
  <si>
    <t xml:space="preserve">Espace projectif ℙⁿ | Coordonnées homogènes | Homographies</t>
  </si>
  <si>
    <t xml:space="preserve">Théorie de Hodge et cohomologie</t>
  </si>
  <si>
    <t xml:space="preserve">Opérateur de Laplace-de Rham | Décomposition de Hodge | Théorème de de Rham</t>
  </si>
  <si>
    <t xml:space="preserve">Géométrie hyperbolique et courbure négative</t>
  </si>
  <si>
    <t xml:space="preserve">Modèle du disque de Poincaré | Espaces CAT(0) | Bord à l'infini</t>
  </si>
  <si>
    <t xml:space="preserve">Fibrés vectoriels et classes caractéristiques</t>
  </si>
  <si>
    <t xml:space="preserve">Fibré vectoriel E→M | Connexion et courbure d'un fibré | Classes de Chern</t>
  </si>
  <si>
    <t xml:space="preserve">Transport optimal et inégalités géométriques</t>
  </si>
  <si>
    <t xml:space="preserve">Distance de Wasserstein | Dualité de Kantorovich | Inégalité isopérimétrique</t>
  </si>
  <si>
    <t xml:space="preserve">Expériences aléatoires</t>
  </si>
  <si>
    <t xml:space="preserve">Probabilités</t>
  </si>
  <si>
    <t xml:space="preserve">Ω : ensemble des issues | Événement : A ⊂ Ω</t>
  </si>
  <si>
    <t xml:space="preserve">Probability-measure.svg</t>
  </si>
  <si>
    <t xml:space="preserve">Probabilité d'un événement</t>
  </si>
  <si>
    <t xml:space="preserve">P(A) = |A| / |Ω| (cas équiprobable) | 0 ≤ P(A) ≤ 1 | P(Ω) = 1</t>
  </si>
  <si>
    <t xml:space="preserve">Variables aléatoires</t>
  </si>
  <si>
    <t xml:space="preserve">X : Ω → ℝ | Loi de X : P(X = x_i)</t>
  </si>
  <si>
    <t xml:space="preserve">Probabilités conditionnelles</t>
  </si>
  <si>
    <t xml:space="preserve">svg/lycee/premiere_probabilites_07_diagramme-de-probabilite-conditionnelle.svg</t>
  </si>
  <si>
    <t xml:space="preserve">Espérance</t>
  </si>
  <si>
    <t xml:space="preserve">E(X) = Σ x_i P(X = x_i) (discret) | E(X) = ∫ x f_X(x) dx (continu)</t>
  </si>
  <si>
    <t xml:space="preserve">Variance et écart-type</t>
  </si>
  <si>
    <t xml:space="preserve">Var(X) = E(X²) - [E(X)]² | σ(X) = √Var(X)</t>
  </si>
  <si>
    <t xml:space="preserve">Formule de Bayes</t>
  </si>
  <si>
    <t xml:space="preserve">P(A|B) = P(B|A) P(A) / P(B) | P(B) = Σ P(B|A_i) P(A_i)</t>
  </si>
  <si>
    <t xml:space="preserve">Lois usuelles discrètes</t>
  </si>
  <si>
    <t xml:space="preserve">svg/lycee/premiere_probabilites_08_fonction-de-masse-d-une-loi-binomiale.svg</t>
  </si>
  <si>
    <t xml:space="preserve">Indépendance</t>
  </si>
  <si>
    <t xml:space="preserve">svg/lycee/premiere_probabilites_09_intersection-de-deux-ensembles-a-et-b.svg</t>
  </si>
  <si>
    <t xml:space="preserve">Vecteurs aléatoires</t>
  </si>
  <si>
    <t xml:space="preserve">X = (X1,...,Xn) | Loi jointe : P(X1=x1,...,Xn=xn)</t>
  </si>
  <si>
    <t xml:space="preserve">Covariance et corrélation</t>
  </si>
  <si>
    <t xml:space="preserve">Cov(X,Y) = E(XY) - E(X)E(Y) | Corr(X,Y) = Cov(X,Y) / (σ(X)σ(Y))</t>
  </si>
  <si>
    <t xml:space="preserve">Lois normales</t>
  </si>
  <si>
    <t xml:space="preserve">N(m,σ²) | Densité : (1/(σ√(2π))) exp(-(x-m)²/(2σ²))</t>
  </si>
  <si>
    <t xml:space="preserve">Variables aléatoires continues</t>
  </si>
  <si>
    <t xml:space="preserve">Densité de probabilité f(x) | Fonction de répartition F(x)=P(X≤x) | E[X]=∫x f(x)dx</t>
  </si>
  <si>
    <t xml:space="preserve">Théorème central limite</t>
  </si>
  <si>
    <t xml:space="preserve">√n (X̄ₙ−μ)/σ → N(0,1) | Loi des grands nombres | Théorème de Slutsky</t>
  </si>
  <si>
    <t xml:space="preserve">Chaînes de Markov</t>
  </si>
  <si>
    <t xml:space="preserve">Matrice de transition P | Distribution stationnaire : πP=π | Équation de Chapman-Kolmogorov</t>
  </si>
  <si>
    <t xml:space="preserve">svg/lycee/terminale_15_un-graphe-oriente.svg</t>
  </si>
  <si>
    <t xml:space="preserve">Martingales et temps d'arrêt</t>
  </si>
  <si>
    <t xml:space="preserve">E[Xₙ₊₁|Fₙ]=Xₙ | Théorème d'arrêt de Doob | Inégalité de Doob</t>
  </si>
  <si>
    <t xml:space="preserve">Mouvement brownien et calcul stochastique</t>
  </si>
  <si>
    <t xml:space="preserve">Formule d'Itô | dXₜ=μdt+σdWₜ | Propriété de Markov du mouvement brownien</t>
  </si>
  <si>
    <t xml:space="preserve">Équations différentielles stochastiques</t>
  </si>
  <si>
    <t xml:space="preserve">EDS : dXₜ=b(Xₜ)dt+σ(Xₜ)dWₜ | Théorème d'existence et unicité (Lipschitz) | Formule de Feynman-Kac</t>
  </si>
  <si>
    <t xml:space="preserve">Statistique mathématique</t>
  </si>
  <si>
    <t xml:space="preserve">Estimateur du maximum de vraisemblance | Borne de Cramér-Rao | Intervalle de confiance</t>
  </si>
  <si>
    <t xml:space="preserve">Tests d'hypothèses</t>
  </si>
  <si>
    <t xml:space="preserve">Erreur de première espèce α | Lemme de Neyman-Pearson | Test du χ²</t>
  </si>
  <si>
    <t xml:space="preserve">Grandes déviations et concentration</t>
  </si>
  <si>
    <t xml:space="preserve">Inégalité de Markov | Inégalité de Bienaymé-Tchebychev | Théorème de Cramér (grandes déviations)</t>
  </si>
  <si>
    <t xml:space="preserve">L2, M1</t>
  </si>
  <si>
    <t xml:space="preserve">Processus de Poisson et files d'attente</t>
  </si>
  <si>
    <t xml:space="preserve">P(N(t)=k)=e^{-λt}(λt)^k/k! | Temps d'attente exponentiels | Processus de naissance et de mort</t>
  </si>
  <si>
    <t xml:space="preserve">Finance mathématique</t>
  </si>
  <si>
    <t xml:space="preserve">Formule de Black-Scholes | Portefeuille auto-financé | Mesure de probabilité risque-neutre</t>
  </si>
  <si>
    <t xml:space="preserve">Séries temporelles</t>
  </si>
  <si>
    <t xml:space="preserve">Modèle ARMA(p,q) | Modèle GARCH | Théorème de Wold</t>
  </si>
  <si>
    <t xml:space="preserve">Combinatoire fondamentale</t>
  </si>
  <si>
    <t xml:space="preserve">Arrangements : A(n,k)=n!/(n-k)! | Combinaisons : C(n,k)=n!/(k!(n-k)!) | Binôme de Newton : (x+y)ⁿ=Σ C(n,k) xⁿ⁻ᵏyᵏ</t>
  </si>
  <si>
    <t xml:space="preserve">Inégalités classiques</t>
  </si>
  <si>
    <t xml:space="preserve">Olympiades</t>
  </si>
  <si>
    <t xml:space="preserve">AM ≥ GM | Cauchy-Schwarz : (Σ a_i b_i)² ≤ (Σ a_i²)(Σ b_i²) | Jensen : f(convex) → f(E[X]) ≤ E[f(X)]</t>
  </si>
  <si>
    <t xml:space="preserve">Optimisation</t>
  </si>
  <si>
    <t xml:space="preserve">AM-GM pour minimiser | Symétrisation | Méthode des extremums</t>
  </si>
  <si>
    <t xml:space="preserve">Techniques de factorisation</t>
  </si>
  <si>
    <t xml:space="preserve">a³ + b³ + c³ - 3abc = (a+b+c)(a²+b²+c² - ab - bc - ca) | a² + b² ≥ 2ab</t>
  </si>
  <si>
    <t xml:space="preserve">Équations fonctionnelles</t>
  </si>
  <si>
    <t xml:space="preserve">f(x+y)=f(x)+f(y) | f(xy)=f(x)f(y)</t>
  </si>
  <si>
    <t xml:space="preserve">Symétries et invariants</t>
  </si>
  <si>
    <t xml:space="preserve">Invariant = quantité conservée | Symétrie → réduction du problème</t>
  </si>
  <si>
    <t xml:space="preserve">Récurrences</t>
  </si>
  <si>
    <t xml:space="preserve">Combinatoire avancée</t>
  </si>
  <si>
    <t xml:space="preserve">C(n,k) = n! / (k!(n-k)!) | Principe des tiroirs | Inclusion-exclusion</t>
  </si>
  <si>
    <t xml:space="preserve">Graphes olympiques</t>
  </si>
  <si>
    <t xml:space="preserve">Théorie des nombres olympique</t>
  </si>
  <si>
    <t xml:space="preserve">a ≡ b (mod n) | PGCD, PPCM | Petit théorème de Fermat</t>
  </si>
  <si>
    <t xml:space="preserve">Équations diophantiennes</t>
  </si>
  <si>
    <t xml:space="preserve">ax + by = c | Méthode de descente infinie</t>
  </si>
  <si>
    <t xml:space="preserve">Géométrie olympique</t>
  </si>
  <si>
    <t xml:space="preserve">4e, 3e, Première</t>
  </si>
  <si>
    <t xml:space="preserve">Barycentres</t>
  </si>
  <si>
    <t xml:space="preserve">G = (mA A + mB B) / (mA + mB) | Somme vectorielle pondérée</t>
  </si>
  <si>
    <t xml:space="preserve">Colorations</t>
  </si>
  <si>
    <t xml:space="preserve">Coloration minimale | Invariants de coloration</t>
  </si>
  <si>
    <t xml:space="preserve">Pavages</t>
  </si>
  <si>
    <t xml:space="preserve">Symétrisation</t>
  </si>
  <si>
    <t xml:space="preserve">Méthode des invariants</t>
  </si>
  <si>
    <t xml:space="preserve">Invariant = quantité conservée | Monovariant = quantité monotone</t>
  </si>
  <si>
    <t xml:space="preserve">Inégalités classiques avancées</t>
  </si>
  <si>
    <t xml:space="preserve">AM-GM : (a+b)/2 ≥ √(ab) | Inégalité de Cauchy-Schwarz | Inégalité de réarrangement</t>
  </si>
  <si>
    <t xml:space="preserve">Ordre multiplicatif et théorie des nombres olympique</t>
  </si>
  <si>
    <t xml:space="preserve">Ordre de a modulo n | Petit théorème de Fermat | Lifting the Exponent (LTE)</t>
  </si>
  <si>
    <t xml:space="preserve">Double comptage et principes d'invariance</t>
  </si>
  <si>
    <t xml:space="preserve">Principe des tiroirs (Dirichlet) | Double comptage | Invariants et semi-invariants</t>
  </si>
  <si>
    <t xml:space="preserve">Puissance d'un point et inversion</t>
  </si>
  <si>
    <t xml:space="preserve">Puissance d'un point : P(M)=MA·MB | Inversion de centre O et rapport k | Théorème de Ptolémée</t>
  </si>
  <si>
    <t xml:space="preserve">Première, L1</t>
  </si>
  <si>
    <t xml:space="preserve">Polynômes et équations fonctionnelles avancés</t>
  </si>
  <si>
    <t xml:space="preserve">Relations coefficients-racines | Équation de Cauchy : f(x+y)=f(x)+f(y) | Polynômes à coefficients entiers</t>
  </si>
  <si>
    <t xml:space="preserve">Première, Terminale, L1</t>
  </si>
  <si>
    <t xml:space="preserve">Théorie des graphes en olympiades</t>
  </si>
  <si>
    <t xml:space="preserve">Lemme des poignées de main | Théorème de Ramsey (cas simples) | Coloration de graphes</t>
  </si>
  <si>
    <t xml:space="preserve">Stratégies de preuve avancées</t>
  </si>
  <si>
    <t xml:space="preserve">svg/lycee/terminale_17_un-arbre-avl-equilibre.svg</t>
  </si>
  <si>
    <t xml:space="preserve">Coloriages et pavages avancés</t>
  </si>
  <si>
    <t xml:space="preserve">Argument de coloriage (échiquier) | Invariant de parité | Pavages par polyominos</t>
  </si>
  <si>
    <t xml:space="preserve">Espaces vectoriels normés</t>
  </si>
  <si>
    <t xml:space="preserve">Prépa</t>
  </si>
  <si>
    <t xml:space="preserve">svg/L2/l2_10_boules-unites-pour-differentes-normes.svg</t>
  </si>
  <si>
    <t xml:space="preserve">Espaces métriques</t>
  </si>
  <si>
    <t xml:space="preserve">Distance : d(x,y) | Boule : B(x,r) | Convergence : x_n → x</t>
  </si>
  <si>
    <t xml:space="preserve">Topologie</t>
  </si>
  <si>
    <t xml:space="preserve">Ouverts, fermés | Adhérence, intérieur | Frontière</t>
  </si>
  <si>
    <t xml:space="preserve">Séries de fonctions</t>
  </si>
  <si>
    <t xml:space="preserve">Σ f_n(x) | Convergence simple / uniforme | Théorème de Weierstrass</t>
  </si>
  <si>
    <t xml:space="preserve">Séries de Fourier (niveau prépa)</t>
  </si>
  <si>
    <t xml:space="preserve">f(x)=a0+Σ(an cos(nx)+bn sin(nx)) | an = ∫ f(x)cos(nx) dx | bn = ∫ f(x)sin(nx) dx</t>
  </si>
  <si>
    <t xml:space="preserve">Analyse complexe (niveau prépa)</t>
  </si>
  <si>
    <t xml:space="preserve">Holomorphie | Résidus | ∮ f(z) dz</t>
  </si>
  <si>
    <t xml:space="preserve">Transformations conformes</t>
  </si>
  <si>
    <t xml:space="preserve">f holomorphe ⇒ conforme | Préservation des angles</t>
  </si>
  <si>
    <t xml:space="preserve">Équations différentielles avancées</t>
  </si>
  <si>
    <t xml:space="preserve">y' = ay | y'' + ω² y = 0 | Méthode de variation de la constante</t>
  </si>
  <si>
    <t xml:space="preserve">Espaces de Hilbert</t>
  </si>
  <si>
    <t xml:space="preserve">Produit scalaire | Complétude | Base orthonormée</t>
  </si>
  <si>
    <t xml:space="preserve">Espaces de Banach</t>
  </si>
  <si>
    <t xml:space="preserve">Norme | Complétude | Applications linéaires continues</t>
  </si>
  <si>
    <t xml:space="preserve">Séries entières avancées</t>
  </si>
  <si>
    <t xml:space="preserve">Σ a_n (x−x0)^n | Rayon de convergence R | Test de Cauchy</t>
  </si>
  <si>
    <t xml:space="preserve">Algèbre linéaire avancée</t>
  </si>
  <si>
    <t xml:space="preserve">A = P D P^{-1} | Valeurs propres</t>
  </si>
  <si>
    <t xml:space="preserve">Probabilités avancées</t>
  </si>
  <si>
    <t xml:space="preserve">E(X|Y) | Cov(X,Y) | Loi normale</t>
  </si>
  <si>
    <t xml:space="preserve">Statistiques avancées</t>
  </si>
  <si>
    <t xml:space="preserve">Estimateur | Intervalle de confiance | Test d’hypothèse</t>
  </si>
  <si>
    <t xml:space="preserve">Motif</t>
  </si>
  <si>
    <t xml:space="preserve">Niveaux d'après le fichier de correspondances</t>
  </si>
  <si>
    <t xml:space="preserve">Fiches concernées</t>
  </si>
  <si>
    <t xml:space="preserve">Nom proposé (si une extension PNG était acceptée)</t>
  </si>
  <si>
    <t xml:space="preserve">Uniquement niveau collège (pas de vignette Collège)</t>
  </si>
  <si>
    <t xml:space="preserve">Calcul de l'aire d'un cercle</t>
  </si>
  <si>
    <t xml:space="preserve">Somme des angles d'un triangle</t>
  </si>
  <si>
    <t xml:space="preserve">205 – Angles</t>
  </si>
  <si>
    <t xml:space="preserve">Aire d'un parallélogramme</t>
  </si>
  <si>
    <t xml:space="preserve">208 – Quadrilatères</t>
  </si>
  <si>
    <t xml:space="preserve">Sphère, cône et cylindre inscrits</t>
  </si>
  <si>
    <t xml:space="preserve">6e, 5e, 3e</t>
  </si>
  <si>
    <t xml:space="preserve">218 – Sphères ; 219 – Cylindres ; 220 – Cones</t>
  </si>
  <si>
    <t xml:space="preserve">Illustration d'un espace de probabilité</t>
  </si>
  <si>
    <t xml:space="preserve">300 – Expériences aléatoires ; 301 – Probabilité d'un événement</t>
  </si>
  <si>
    <t xml:space="preserve">Format PNG (la banque ne liste que des .svg)</t>
  </si>
  <si>
    <t xml:space="preserve">Graphe d'un polynôme de degré 2</t>
  </si>
  <si>
    <t xml:space="preserve">1 – Fonctions ; 102 – Polynômes</t>
  </si>
  <si>
    <t xml:space="preserve">svg/lycee/…_graphe-d-un-polynome-de-degre-2.png (niveau : Seconde)</t>
  </si>
  <si>
    <t xml:space="preserve">Graphe d'un polynôme de degré 3</t>
  </si>
  <si>
    <t xml:space="preserve">3e, Première, Terminale, L1, M2</t>
  </si>
  <si>
    <t xml:space="preserve">3 – Continuité ; 102 – Polynômes ; 131 – Anneaux de polynômes et géométrie algébrique ; 227 – Géométrie algébrique ; 602 – Techniques de factorisation ; 620 – Polynômes et équations fonctionnelles avancés</t>
  </si>
  <si>
    <t xml:space="preserve">svg/lycee/…_graphe-d-un-polynome-de-degre-3.png (niveau : Première)</t>
  </si>
  <si>
    <t xml:space="preserve">Graphe d'un polynôme de degré 4</t>
  </si>
  <si>
    <t xml:space="preserve">Première, L1, L2</t>
  </si>
  <si>
    <t xml:space="preserve">9 – Séries entières ; 11 – Suites et séries numériques ; 102 – Polynômes ; 710 – Séries entières avancées</t>
  </si>
  <si>
    <t xml:space="preserve">svg/lycee/…_graphe-d-un-polynome-de-degre-4.png (niveau : Première)</t>
  </si>
  <si>
    <t xml:space="preserve">La loi normale (courbe en cloche)</t>
  </si>
  <si>
    <t xml:space="preserve">Première, Terminale, L1, L2, L3, M1, M2</t>
  </si>
  <si>
    <t xml:space="preserve">21 – Distributions et espaces de Sobolev ; 302 – Variables aléatoires ; 304 – Espérance ; 305 – Variance et écart-type ; 309 – Vecteurs aléatoires ; 310 – Covariance et corrélation ; 311 – Lois normales ; 312 – Variables aléatoires continues ; 313 – Théorème central limite ; 315 – Martingales et temps d'arrêt ; 318 – Statistique mathématique ; 319 – Tests d'hypothèses ; 320 – Grandes déviations et concentration ; 322 – Finance mathématique ; 712 – Probabilités avancées ; 713 – Statistiques avancées</t>
  </si>
  <si>
    <t xml:space="preserve">svg/lycee/…_la-loi-normale-courbe-en-cloche.png (niveau : Première)</t>
  </si>
  <si>
    <t xml:space="preserve">Une matrice</t>
  </si>
  <si>
    <t xml:space="preserve">103 – Matrices ; 108 – Diagonalisation</t>
  </si>
  <si>
    <t xml:space="preserve">svg/L1/…_une-matrice.png (niveau : L1)</t>
  </si>
  <si>
    <t xml:space="preserve">Base orthonormée du plan et de l'espace</t>
  </si>
  <si>
    <t xml:space="preserve">19 – Espaces de Hilbert et opérateurs ; 104 – Espaces vectoriels ; 124 – Espaces euclidiens et hermitiens ; 231 – Fibrés vectoriels et classes caractéristiques ; 708 – Espaces de Hilbert ; 709 – Espaces de Banach</t>
  </si>
  <si>
    <t xml:space="preserve">svg/L1/…_base-orthonormee-du-plan-et-de-l-espace.png (niveau : L1)</t>
  </si>
  <si>
    <t xml:space="preserve">Physique / Informatique (hors du fichier de correspondances)</t>
  </si>
  <si>
    <t xml:space="preserve">SI_base_units.svg</t>
  </si>
  <si>
    <t xml:space="preserve">Les sept unités de base du Système International</t>
  </si>
  <si>
    <t xml:space="preserve">400 – Grandeurs physiques</t>
  </si>
  <si>
    <t xml:space="preserve">Snells_law_wavefronts.gif</t>
  </si>
  <si>
    <t xml:space="preserve">Fronts d'onde et loi de Snell-Descartes</t>
  </si>
  <si>
    <t xml:space="preserve">408 – Optique géométrique</t>
  </si>
  <si>
    <t xml:space="preserve">VFPt_charges_plus_minus_thumb.svg</t>
  </si>
  <si>
    <t xml:space="preserve">Lignes de champ électrique entre deux charges</t>
  </si>
  <si>
    <t xml:space="preserve">416 – Champ électrique ; 417 – Magnétisme ; 418 – Électromagnétisme ; 423 – Électromagnétisme avancé</t>
  </si>
  <si>
    <t xml:space="preserve">Standard_configuration_of_coordinate_systems.svg</t>
  </si>
  <si>
    <t xml:space="preserve">Configuration standard de deux référentiels</t>
  </si>
  <si>
    <t xml:space="preserve">421 – Relativité restreinte</t>
  </si>
  <si>
    <t xml:space="preserve">Lorenz_attractor_yb.svg</t>
  </si>
  <si>
    <t xml:space="preserve">L'attracteur de Lorenz</t>
  </si>
  <si>
    <t xml:space="preserve">427 – Systèmes dynamiques et chaos</t>
  </si>
  <si>
    <t xml:space="preserve">Binary_tree.svg</t>
  </si>
  <si>
    <t xml:space="preserve">Un arbre binaire</t>
  </si>
  <si>
    <t xml:space="preserve">501 – Structures de données ; 502 – Arbres ; 507 – Programmation dynamique ; 508 – Backtracking ; 509 – Recherche exhaustive ; 515 – Langages formels ; 517 – Compilation ; 716 – Méthodologie de rédaction en prépa</t>
  </si>
  <si>
    <t xml:space="preserve">AND_ANSI.svg</t>
  </si>
  <si>
    <t xml:space="preserve">Symbole de la porte logique AND</t>
  </si>
  <si>
    <t xml:space="preserve">511 – Logique booléenne ; 512 – Circuits logiques</t>
  </si>
  <si>
    <t xml:space="preserve">DFAexample.svg</t>
  </si>
  <si>
    <t xml:space="preserve">Diagramme d'états d'un automate fini</t>
  </si>
  <si>
    <t xml:space="preserve">513 – Automates ; 715 – Informatique théorique</t>
  </si>
  <si>
    <t xml:space="preserve">Kernel_Layout.svg</t>
  </si>
  <si>
    <t xml:space="preserve">Le rôle du noyau dans un ordinateur</t>
  </si>
  <si>
    <t xml:space="preserve">514 – Architecture des ordinateurs ; 516 – Systèmes d’exploitation</t>
  </si>
  <si>
    <t xml:space="preserve">Hash_table_4_1_1_0_0_1_0_LL.svg</t>
  </si>
  <si>
    <t xml:space="preserve">Une table de hachage avec listes chaînées</t>
  </si>
  <si>
    <t xml:space="preserve">519 – Sécurité informatique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</si>
</sst>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ommons.wikimedia.org/wiki/File:Set_of_real_numbers_(diagram).svg" TargetMode="External"/><Relationship Id="rId2" Type="http://schemas.openxmlformats.org/officeDocument/2006/relationships/hyperlink" Target="https://commons.wikimedia.org/wiki/File:Vector_from_A_to_B.svg" TargetMode="External"/><Relationship Id="rId3" Type="http://schemas.openxmlformats.org/officeDocument/2006/relationships/hyperlink" Target="https://commons.wikimedia.org/wiki/File:Cartesian-coordinate-system-with-circle.svg" TargetMode="External"/><Relationship Id="rId4" Type="http://schemas.openxmlformats.org/officeDocument/2006/relationships/hyperlink" Target="https://commons.wikimedia.org/wiki/File:Eigenvalue_equation.svg" TargetMode="External"/><Relationship Id="rId5" Type="http://schemas.openxmlformats.org/officeDocument/2006/relationships/hyperlink" Target="https://commons.wikimedia.org/wiki/File:Cayley_table_Group_S3_RK01.svg" TargetMode="External"/><Relationship Id="rId6" Type="http://schemas.openxmlformats.org/officeDocument/2006/relationships/hyperlink" Target="https://commons.wikimedia.org/wiki/File:Mvt2.svg" TargetMode="External"/><Relationship Id="rId7" Type="http://schemas.openxmlformats.org/officeDocument/2006/relationships/hyperlink" Target="https://commons.wikimedia.org/wiki/File:Distance_point_line.svg" TargetMode="External"/><Relationship Id="rId8" Type="http://schemas.openxmlformats.org/officeDocument/2006/relationships/hyperlink" Target="https://commons.wikimedia.org/wiki/File:Circle-trig6.svg" TargetMode="External"/><Relationship Id="rId9" Type="http://schemas.openxmlformats.org/officeDocument/2006/relationships/hyperlink" Target="https://commons.wikimedia.org/wiki/File:Pythagorean-theorem.svg" TargetMode="External"/><Relationship Id="rId10" Type="http://schemas.openxmlformats.org/officeDocument/2006/relationships/hyperlink" Target="https://commons.wikimedia.org/wiki/File:Conditional_probability.svg" TargetMode="External"/><Relationship Id="rId11" Type="http://schemas.openxmlformats.org/officeDocument/2006/relationships/hyperlink" Target="https://commons.wikimedia.org/wiki/File:Binomial_distribution_pmf.svg" TargetMode="External"/><Relationship Id="rId12" Type="http://schemas.openxmlformats.org/officeDocument/2006/relationships/hyperlink" Target="https://commons.wikimedia.org/wiki/File:Venn_A_intersect_B.svg" TargetMode="External"/><Relationship Id="rId13" Type="http://schemas.openxmlformats.org/officeDocument/2006/relationships/hyperlink" Target="https://commons.wikimedia.org/wiki/File:Integral_as_region_under_curve.svg" TargetMode="External"/><Relationship Id="rId14" Type="http://schemas.openxmlformats.org/officeDocument/2006/relationships/hyperlink" Target="https://commons.wikimedia.org/wiki/File:Complex_number_illustration.svg" TargetMode="External"/><Relationship Id="rId15" Type="http://schemas.openxmlformats.org/officeDocument/2006/relationships/hyperlink" Target="https://commons.wikimedia.org/wiki/File:Euler%27s_formula.svg" TargetMode="External"/><Relationship Id="rId16" Type="http://schemas.openxmlformats.org/officeDocument/2006/relationships/hyperlink" Target="https://commons.wikimedia.org/wiki/File:Clock_group.svg" TargetMode="External"/><Relationship Id="rId17" Type="http://schemas.openxmlformats.org/officeDocument/2006/relationships/hyperlink" Target="https://commons.wikimedia.org/wiki/File:Public_key_encryption.svg" TargetMode="External"/><Relationship Id="rId18" Type="http://schemas.openxmlformats.org/officeDocument/2006/relationships/hyperlink" Target="https://commons.wikimedia.org/wiki/File:Determinant_parallelepiped.svg" TargetMode="External"/><Relationship Id="rId19" Type="http://schemas.openxmlformats.org/officeDocument/2006/relationships/hyperlink" Target="https://commons.wikimedia.org/wiki/File:Directed.svg" TargetMode="External"/><Relationship Id="rId20" Type="http://schemas.openxmlformats.org/officeDocument/2006/relationships/hyperlink" Target="https://commons.wikimedia.org/wiki/File:Regular_polygon_6_annotated.svg" TargetMode="External"/><Relationship Id="rId21" Type="http://schemas.openxmlformats.org/officeDocument/2006/relationships/hyperlink" Target="https://commons.wikimedia.org/wiki/File:AVLtreef.svg" TargetMode="External"/><Relationship Id="rId22" Type="http://schemas.openxmlformats.org/officeDocument/2006/relationships/hyperlink" Target="https://commons.wikimedia.org/wiki/File:Taylorsine.svg" TargetMode="External"/><Relationship Id="rId23" Type="http://schemas.openxmlformats.org/officeDocument/2006/relationships/hyperlink" Target="https://commons.wikimedia.org/wiki/File:Image_of_map_f_in_real_plane.svg" TargetMode="External"/><Relationship Id="rId24" Type="http://schemas.openxmlformats.org/officeDocument/2006/relationships/hyperlink" Target="https://commons.wikimedia.org/wiki/File:Conic_sections_with_plane.svg" TargetMode="External"/><Relationship Id="rId25" Type="http://schemas.openxmlformats.org/officeDocument/2006/relationships/hyperlink" Target="https://commons.wikimedia.org/wiki/File:Vector_norms.svg" TargetMode="External"/><Relationship Id="rId26" Type="http://schemas.openxmlformats.org/officeDocument/2006/relationships/hyperlink" Target="https://commons.wikimedia.org/wiki/File:Gamma_plot.svg" TargetMode="External"/><Relationship Id="rId2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n">
        <f aca="false">COUNTIF(Répartition!$A$2:$A$27,A4)</f>
        <v>3</v>
      </c>
      <c r="C4" s="3" t="s">
        <v>6</v>
      </c>
      <c r="D4" s="4" t="n">
        <v>12</v>
      </c>
    </row>
    <row r="5" customFormat="false" ht="15" hidden="false" customHeight="false" outlineLevel="0" collapsed="false">
      <c r="A5" s="3" t="s">
        <v>7</v>
      </c>
      <c r="B5" s="3" t="n">
        <f aca="false">COUNTIF(Répartition!$A$2:$A$27,A5)</f>
        <v>9</v>
      </c>
      <c r="C5" s="3" t="s">
        <v>6</v>
      </c>
      <c r="D5" s="4" t="s">
        <v>8</v>
      </c>
    </row>
    <row r="6" customFormat="false" ht="15" hidden="false" customHeight="false" outlineLevel="0" collapsed="false">
      <c r="A6" s="3" t="s">
        <v>9</v>
      </c>
      <c r="B6" s="3" t="n">
        <f aca="false">COUNTIF(Répartition!$A$2:$A$27,A6)</f>
        <v>9</v>
      </c>
      <c r="C6" s="3" t="s">
        <v>6</v>
      </c>
      <c r="D6" s="4" t="n">
        <v>8</v>
      </c>
    </row>
    <row r="7" customFormat="false" ht="15" hidden="false" customHeight="false" outlineLevel="0" collapsed="false">
      <c r="A7" s="3" t="s">
        <v>10</v>
      </c>
      <c r="B7" s="3" t="n">
        <f aca="false">COUNTIF(Répartition!$A$2:$A$27,A7)</f>
        <v>2</v>
      </c>
      <c r="C7" s="3" t="s">
        <v>11</v>
      </c>
      <c r="D7" s="4" t="n">
        <v>59</v>
      </c>
    </row>
    <row r="8" customFormat="false" ht="15" hidden="false" customHeight="false" outlineLevel="0" collapsed="false">
      <c r="A8" s="3" t="s">
        <v>12</v>
      </c>
      <c r="B8" s="3" t="n">
        <f aca="false">COUNTIF(Répartition!$A$2:$A$27,A8)</f>
        <v>2</v>
      </c>
      <c r="C8" s="3" t="s">
        <v>13</v>
      </c>
      <c r="D8" s="4" t="n">
        <v>8</v>
      </c>
    </row>
    <row r="9" customFormat="false" ht="15" hidden="false" customHeight="false" outlineLevel="0" collapsed="false">
      <c r="A9" s="3" t="s">
        <v>14</v>
      </c>
      <c r="B9" s="3" t="n">
        <f aca="false">COUNTIF(Répartition!$A$2:$A$27,A9)</f>
        <v>1</v>
      </c>
      <c r="C9" s="3" t="s">
        <v>15</v>
      </c>
      <c r="D9" s="4" t="n">
        <v>8</v>
      </c>
    </row>
    <row r="10" customFormat="false" ht="15" hidden="false" customHeight="false" outlineLevel="0" collapsed="false">
      <c r="A10" s="3" t="s">
        <v>16</v>
      </c>
      <c r="B10" s="3" t="n">
        <f aca="false">COUNTIF(Répartition!$A$2:$A$27,A10)</f>
        <v>0</v>
      </c>
      <c r="C10" s="3" t="s">
        <v>17</v>
      </c>
      <c r="D10" s="4" t="n">
        <v>8</v>
      </c>
    </row>
    <row r="11" customFormat="false" ht="15" hidden="false" customHeight="false" outlineLevel="0" collapsed="false">
      <c r="A11" s="3" t="s">
        <v>18</v>
      </c>
      <c r="B11" s="3" t="n">
        <f aca="false">COUNTIF(Répartition!$A$2:$A$27,A11)</f>
        <v>0</v>
      </c>
      <c r="C11" s="3" t="s">
        <v>19</v>
      </c>
      <c r="D11" s="4" t="n">
        <v>8</v>
      </c>
    </row>
    <row r="12" customFormat="false" ht="15" hidden="false" customHeight="false" outlineLevel="0" collapsed="false">
      <c r="A12" s="5" t="s">
        <v>20</v>
      </c>
      <c r="B12" s="5" t="n">
        <f aca="false">SUM(B4:B11)</f>
        <v>26</v>
      </c>
    </row>
    <row r="14" customFormat="false" ht="15" hidden="false" customHeight="false" outlineLevel="0" collapsed="false">
      <c r="A14" s="5" t="s">
        <v>21</v>
      </c>
    </row>
    <row r="15" customFormat="false" ht="15" hidden="false" customHeight="false" outlineLevel="0" collapsed="false">
      <c r="A15" s="3" t="s">
        <v>22</v>
      </c>
      <c r="B15" s="3" t="n">
        <f aca="false">COUNTIF('Non répartis'!$A$2:$A$22,"Uniquement niveau collège*")</f>
        <v>5</v>
      </c>
    </row>
    <row r="16" customFormat="false" ht="15" hidden="false" customHeight="false" outlineLevel="0" collapsed="false">
      <c r="A16" s="3" t="s">
        <v>23</v>
      </c>
      <c r="B16" s="3" t="n">
        <f aca="false">COUNTIF('Non répartis'!$A$2:$A$22,"Format PNG*")</f>
        <v>6</v>
      </c>
    </row>
    <row r="17" customFormat="false" ht="15" hidden="false" customHeight="false" outlineLevel="0" collapsed="false">
      <c r="A17" s="3" t="s">
        <v>24</v>
      </c>
      <c r="B17" s="3" t="n">
        <f aca="false">COUNTIF('Non répartis'!$A$2:$A$22,"Physique / Informatique*")</f>
        <v>10</v>
      </c>
    </row>
    <row r="18" customFormat="false" ht="15" hidden="false" customHeight="false" outlineLevel="0" collapsed="false">
      <c r="A18" s="5" t="s">
        <v>25</v>
      </c>
      <c r="B18" s="5" t="n">
        <f aca="false">B12+SUM(B15:B17)</f>
        <v>47</v>
      </c>
    </row>
    <row r="20" customFormat="false" ht="15" hidden="false" customHeight="false" outlineLevel="0" collapsed="false">
      <c r="A20" s="6" t="s">
        <v>26</v>
      </c>
    </row>
    <row r="21" customFormat="false" ht="43.5" hidden="false" customHeight="true" outlineLevel="0" collapsed="false">
      <c r="A21" s="7" t="s">
        <v>27</v>
      </c>
      <c r="B21" s="7"/>
      <c r="C21" s="7"/>
      <c r="D21" s="7"/>
    </row>
    <row r="22" customFormat="false" ht="43.5" hidden="false" customHeight="true" outlineLevel="0" collapsed="false">
      <c r="A22" s="7" t="s">
        <v>28</v>
      </c>
      <c r="B22" s="7"/>
      <c r="C22" s="7"/>
      <c r="D22" s="7"/>
    </row>
    <row r="23" customFormat="false" ht="43.5" hidden="false" customHeight="true" outlineLevel="0" collapsed="false">
      <c r="A23" s="7" t="s">
        <v>29</v>
      </c>
      <c r="B23" s="7"/>
      <c r="C23" s="7"/>
      <c r="D23" s="7"/>
    </row>
    <row r="24" customFormat="false" ht="43.5" hidden="false" customHeight="true" outlineLevel="0" collapsed="false">
      <c r="A24" s="7" t="s">
        <v>30</v>
      </c>
      <c r="B24" s="7"/>
      <c r="C24" s="7"/>
      <c r="D24" s="7"/>
    </row>
    <row r="25" customFormat="false" ht="43.5" hidden="false" customHeight="true" outlineLevel="0" collapsed="false">
      <c r="A25" s="7" t="s">
        <v>31</v>
      </c>
      <c r="B25" s="7"/>
      <c r="C25" s="7"/>
      <c r="D25" s="7"/>
    </row>
    <row r="26" customFormat="false" ht="43.5" hidden="false" customHeight="true" outlineLevel="0" collapsed="false">
      <c r="A26" s="7" t="s">
        <v>32</v>
      </c>
      <c r="B26" s="7"/>
      <c r="C26" s="7"/>
      <c r="D26" s="7"/>
    </row>
    <row r="27" customFormat="false" ht="43.5" hidden="false" customHeight="true" outlineLevel="0" collapsed="false">
      <c r="A27" s="7" t="s">
        <v>33</v>
      </c>
      <c r="B27" s="7"/>
      <c r="C27" s="7"/>
      <c r="D27" s="7"/>
    </row>
  </sheetData>
  <mergeCells count="7">
    <mergeCell ref="A21:D21"/>
    <mergeCell ref="A22:D22"/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62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60"/>
    <col collapsed="false" customWidth="true" hidden="false" outlineLevel="0" max="9" min="9" style="0" width="42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8" t="s">
        <v>1</v>
      </c>
      <c r="B1" s="8" t="s">
        <v>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</row>
    <row r="2" customFormat="false" ht="23.85" hidden="false" customHeight="false" outlineLevel="0" collapsed="false">
      <c r="A2" s="9" t="s">
        <v>5</v>
      </c>
      <c r="B2" s="9" t="s">
        <v>6</v>
      </c>
      <c r="C2" s="9" t="s">
        <v>42</v>
      </c>
      <c r="D2" s="9" t="s">
        <v>43</v>
      </c>
      <c r="E2" s="9" t="s">
        <v>44</v>
      </c>
      <c r="F2" s="9" t="s">
        <v>45</v>
      </c>
      <c r="G2" s="9" t="s">
        <v>46</v>
      </c>
      <c r="H2" s="9" t="s">
        <v>47</v>
      </c>
      <c r="I2" s="9" t="s">
        <v>48</v>
      </c>
      <c r="J2" s="10" t="s">
        <v>49</v>
      </c>
    </row>
    <row r="3" customFormat="false" ht="23.85" hidden="false" customHeight="false" outlineLevel="0" collapsed="false">
      <c r="A3" s="9" t="s">
        <v>5</v>
      </c>
      <c r="B3" s="9" t="s">
        <v>6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56</v>
      </c>
      <c r="J3" s="10" t="s">
        <v>57</v>
      </c>
    </row>
    <row r="4" customFormat="false" ht="23.85" hidden="false" customHeight="false" outlineLevel="0" collapsed="false">
      <c r="A4" s="9" t="s">
        <v>5</v>
      </c>
      <c r="B4" s="9" t="s">
        <v>6</v>
      </c>
      <c r="C4" s="9" t="s">
        <v>58</v>
      </c>
      <c r="D4" s="9" t="s">
        <v>59</v>
      </c>
      <c r="E4" s="9" t="s">
        <v>60</v>
      </c>
      <c r="F4" s="9" t="s">
        <v>61</v>
      </c>
      <c r="G4" s="9" t="s">
        <v>62</v>
      </c>
      <c r="H4" s="9" t="s">
        <v>63</v>
      </c>
      <c r="I4" s="9" t="s">
        <v>64</v>
      </c>
      <c r="J4" s="10" t="s">
        <v>65</v>
      </c>
    </row>
    <row r="5" customFormat="false" ht="15" hidden="false" customHeight="false" outlineLevel="0" collapsed="false">
      <c r="A5" s="9" t="s">
        <v>7</v>
      </c>
      <c r="B5" s="9" t="s">
        <v>6</v>
      </c>
      <c r="C5" s="9" t="s">
        <v>66</v>
      </c>
      <c r="D5" s="9" t="s">
        <v>67</v>
      </c>
      <c r="E5" s="9" t="s">
        <v>68</v>
      </c>
      <c r="F5" s="9" t="s">
        <v>69</v>
      </c>
      <c r="G5" s="9" t="s">
        <v>70</v>
      </c>
      <c r="H5" s="9" t="s">
        <v>71</v>
      </c>
      <c r="I5" s="9" t="s">
        <v>72</v>
      </c>
      <c r="J5" s="10" t="s">
        <v>73</v>
      </c>
    </row>
    <row r="6" customFormat="false" ht="15" hidden="false" customHeight="false" outlineLevel="0" collapsed="false">
      <c r="A6" s="9" t="s">
        <v>7</v>
      </c>
      <c r="B6" s="9" t="s">
        <v>6</v>
      </c>
      <c r="C6" s="9" t="s">
        <v>74</v>
      </c>
      <c r="D6" s="9" t="s">
        <v>75</v>
      </c>
      <c r="E6" s="9" t="s">
        <v>76</v>
      </c>
      <c r="F6" s="9" t="s">
        <v>77</v>
      </c>
      <c r="G6" s="9" t="s">
        <v>78</v>
      </c>
      <c r="H6" s="9" t="s">
        <v>79</v>
      </c>
      <c r="I6" s="9" t="s">
        <v>80</v>
      </c>
      <c r="J6" s="10" t="s">
        <v>81</v>
      </c>
    </row>
    <row r="7" customFormat="false" ht="15" hidden="false" customHeight="false" outlineLevel="0" collapsed="false">
      <c r="A7" s="9" t="s">
        <v>7</v>
      </c>
      <c r="B7" s="9" t="s">
        <v>6</v>
      </c>
      <c r="C7" s="9" t="s">
        <v>82</v>
      </c>
      <c r="D7" s="9" t="s">
        <v>83</v>
      </c>
      <c r="E7" s="9" t="s">
        <v>84</v>
      </c>
      <c r="F7" s="9" t="s">
        <v>85</v>
      </c>
      <c r="G7" s="9" t="s">
        <v>86</v>
      </c>
      <c r="H7" s="9" t="s">
        <v>87</v>
      </c>
      <c r="I7" s="9" t="s">
        <v>88</v>
      </c>
      <c r="J7" s="10" t="s">
        <v>89</v>
      </c>
    </row>
    <row r="8" customFormat="false" ht="15" hidden="false" customHeight="false" outlineLevel="0" collapsed="false">
      <c r="A8" s="9" t="s">
        <v>7</v>
      </c>
      <c r="B8" s="9" t="s">
        <v>6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9" t="s">
        <v>95</v>
      </c>
      <c r="I8" s="9" t="s">
        <v>96</v>
      </c>
      <c r="J8" s="10" t="s">
        <v>97</v>
      </c>
    </row>
    <row r="9" customFormat="false" ht="15" hidden="false" customHeight="false" outlineLevel="0" collapsed="false">
      <c r="A9" s="9" t="s">
        <v>7</v>
      </c>
      <c r="B9" s="9" t="s">
        <v>6</v>
      </c>
      <c r="C9" s="9" t="s">
        <v>98</v>
      </c>
      <c r="D9" s="9" t="s">
        <v>99</v>
      </c>
      <c r="E9" s="9" t="s">
        <v>100</v>
      </c>
      <c r="F9" s="9" t="s">
        <v>101</v>
      </c>
      <c r="G9" s="9" t="s">
        <v>102</v>
      </c>
      <c r="H9" s="9" t="s">
        <v>103</v>
      </c>
      <c r="I9" s="9" t="s">
        <v>104</v>
      </c>
      <c r="J9" s="10" t="s">
        <v>105</v>
      </c>
    </row>
    <row r="10" customFormat="false" ht="15" hidden="false" customHeight="false" outlineLevel="0" collapsed="false">
      <c r="A10" s="9" t="s">
        <v>7</v>
      </c>
      <c r="B10" s="9" t="s">
        <v>6</v>
      </c>
      <c r="C10" s="9" t="s">
        <v>106</v>
      </c>
      <c r="D10" s="9" t="s">
        <v>107</v>
      </c>
      <c r="E10" s="9" t="s">
        <v>108</v>
      </c>
      <c r="F10" s="9" t="s">
        <v>109</v>
      </c>
      <c r="G10" s="9" t="s">
        <v>110</v>
      </c>
      <c r="H10" s="9" t="s">
        <v>111</v>
      </c>
      <c r="I10" s="9" t="s">
        <v>112</v>
      </c>
      <c r="J10" s="10" t="s">
        <v>113</v>
      </c>
    </row>
    <row r="11" customFormat="false" ht="15" hidden="false" customHeight="false" outlineLevel="0" collapsed="false">
      <c r="A11" s="9" t="s">
        <v>7</v>
      </c>
      <c r="B11" s="9" t="s">
        <v>6</v>
      </c>
      <c r="C11" s="9" t="s">
        <v>114</v>
      </c>
      <c r="D11" s="9" t="s">
        <v>115</v>
      </c>
      <c r="E11" s="9" t="s">
        <v>116</v>
      </c>
      <c r="F11" s="9" t="s">
        <v>9</v>
      </c>
      <c r="G11" s="9" t="s">
        <v>117</v>
      </c>
      <c r="H11" s="9" t="s">
        <v>118</v>
      </c>
      <c r="I11" s="9" t="s">
        <v>119</v>
      </c>
      <c r="J11" s="10" t="s">
        <v>120</v>
      </c>
    </row>
    <row r="12" customFormat="false" ht="23.85" hidden="false" customHeight="false" outlineLevel="0" collapsed="false">
      <c r="A12" s="9" t="s">
        <v>7</v>
      </c>
      <c r="B12" s="9" t="s">
        <v>6</v>
      </c>
      <c r="C12" s="9" t="s">
        <v>121</v>
      </c>
      <c r="D12" s="9" t="s">
        <v>122</v>
      </c>
      <c r="E12" s="9" t="s">
        <v>123</v>
      </c>
      <c r="F12" s="9" t="s">
        <v>124</v>
      </c>
      <c r="G12" s="9" t="s">
        <v>125</v>
      </c>
      <c r="H12" s="9" t="s">
        <v>126</v>
      </c>
      <c r="I12" s="9" t="s">
        <v>127</v>
      </c>
      <c r="J12" s="10" t="s">
        <v>128</v>
      </c>
    </row>
    <row r="13" customFormat="false" ht="23.85" hidden="false" customHeight="false" outlineLevel="0" collapsed="false">
      <c r="A13" s="9" t="s">
        <v>7</v>
      </c>
      <c r="B13" s="9" t="s">
        <v>6</v>
      </c>
      <c r="C13" s="9" t="s">
        <v>129</v>
      </c>
      <c r="D13" s="9" t="s">
        <v>130</v>
      </c>
      <c r="E13" s="9" t="s">
        <v>131</v>
      </c>
      <c r="F13" s="9" t="s">
        <v>132</v>
      </c>
      <c r="G13" s="9" t="s">
        <v>133</v>
      </c>
      <c r="H13" s="9" t="s">
        <v>134</v>
      </c>
      <c r="I13" s="9" t="s">
        <v>135</v>
      </c>
      <c r="J13" s="10" t="s">
        <v>136</v>
      </c>
    </row>
    <row r="14" customFormat="false" ht="23.85" hidden="false" customHeight="false" outlineLevel="0" collapsed="false">
      <c r="A14" s="9" t="s">
        <v>9</v>
      </c>
      <c r="B14" s="9" t="s">
        <v>6</v>
      </c>
      <c r="C14" s="9" t="s">
        <v>137</v>
      </c>
      <c r="D14" s="9" t="s">
        <v>138</v>
      </c>
      <c r="E14" s="9" t="s">
        <v>139</v>
      </c>
      <c r="F14" s="9" t="s">
        <v>140</v>
      </c>
      <c r="G14" s="9" t="s">
        <v>141</v>
      </c>
      <c r="H14" s="9" t="s">
        <v>142</v>
      </c>
      <c r="I14" s="9" t="s">
        <v>143</v>
      </c>
      <c r="J14" s="10" t="s">
        <v>144</v>
      </c>
    </row>
    <row r="15" customFormat="false" ht="23.85" hidden="false" customHeight="false" outlineLevel="0" collapsed="false">
      <c r="A15" s="9" t="s">
        <v>9</v>
      </c>
      <c r="B15" s="9" t="s">
        <v>6</v>
      </c>
      <c r="C15" s="9" t="s">
        <v>145</v>
      </c>
      <c r="D15" s="9" t="s">
        <v>146</v>
      </c>
      <c r="E15" s="9" t="s">
        <v>147</v>
      </c>
      <c r="F15" s="9" t="s">
        <v>148</v>
      </c>
      <c r="G15" s="9" t="s">
        <v>149</v>
      </c>
      <c r="H15" s="9" t="s">
        <v>150</v>
      </c>
      <c r="I15" s="9" t="s">
        <v>151</v>
      </c>
      <c r="J15" s="10" t="s">
        <v>152</v>
      </c>
    </row>
    <row r="16" customFormat="false" ht="15" hidden="false" customHeight="false" outlineLevel="0" collapsed="false">
      <c r="A16" s="9" t="s">
        <v>9</v>
      </c>
      <c r="B16" s="9" t="s">
        <v>6</v>
      </c>
      <c r="C16" s="9" t="s">
        <v>153</v>
      </c>
      <c r="D16" s="9" t="s">
        <v>154</v>
      </c>
      <c r="E16" s="9" t="s">
        <v>155</v>
      </c>
      <c r="F16" s="9" t="s">
        <v>14</v>
      </c>
      <c r="G16" s="9" t="s">
        <v>149</v>
      </c>
      <c r="H16" s="9" t="s">
        <v>156</v>
      </c>
      <c r="I16" s="9" t="s">
        <v>157</v>
      </c>
      <c r="J16" s="10" t="s">
        <v>158</v>
      </c>
    </row>
    <row r="17" customFormat="false" ht="15" hidden="false" customHeight="false" outlineLevel="0" collapsed="false">
      <c r="A17" s="9" t="s">
        <v>9</v>
      </c>
      <c r="B17" s="9" t="s">
        <v>6</v>
      </c>
      <c r="C17" s="9" t="s">
        <v>159</v>
      </c>
      <c r="D17" s="9" t="s">
        <v>160</v>
      </c>
      <c r="E17" s="9" t="s">
        <v>161</v>
      </c>
      <c r="F17" s="9" t="s">
        <v>162</v>
      </c>
      <c r="G17" s="9" t="s">
        <v>163</v>
      </c>
      <c r="H17" s="9" t="s">
        <v>164</v>
      </c>
      <c r="I17" s="9" t="s">
        <v>165</v>
      </c>
      <c r="J17" s="10" t="s">
        <v>166</v>
      </c>
    </row>
    <row r="18" customFormat="false" ht="15" hidden="false" customHeight="false" outlineLevel="0" collapsed="false">
      <c r="A18" s="9" t="s">
        <v>9</v>
      </c>
      <c r="B18" s="9" t="s">
        <v>6</v>
      </c>
      <c r="C18" s="9" t="s">
        <v>167</v>
      </c>
      <c r="D18" s="9" t="s">
        <v>168</v>
      </c>
      <c r="E18" s="9" t="s">
        <v>169</v>
      </c>
      <c r="F18" s="9" t="s">
        <v>170</v>
      </c>
      <c r="G18" s="9" t="s">
        <v>171</v>
      </c>
      <c r="H18" s="9" t="s">
        <v>172</v>
      </c>
      <c r="I18" s="9" t="s">
        <v>173</v>
      </c>
      <c r="J18" s="10" t="s">
        <v>174</v>
      </c>
    </row>
    <row r="19" customFormat="false" ht="23.85" hidden="false" customHeight="false" outlineLevel="0" collapsed="false">
      <c r="A19" s="9" t="s">
        <v>9</v>
      </c>
      <c r="B19" s="9" t="s">
        <v>6</v>
      </c>
      <c r="C19" s="9" t="s">
        <v>175</v>
      </c>
      <c r="D19" s="9" t="s">
        <v>176</v>
      </c>
      <c r="E19" s="9" t="s">
        <v>177</v>
      </c>
      <c r="F19" s="9" t="s">
        <v>140</v>
      </c>
      <c r="G19" s="9" t="s">
        <v>178</v>
      </c>
      <c r="H19" s="9" t="s">
        <v>179</v>
      </c>
      <c r="I19" s="9" t="s">
        <v>180</v>
      </c>
      <c r="J19" s="10" t="s">
        <v>181</v>
      </c>
    </row>
    <row r="20" customFormat="false" ht="15" hidden="false" customHeight="false" outlineLevel="0" collapsed="false">
      <c r="A20" s="9" t="s">
        <v>9</v>
      </c>
      <c r="B20" s="9" t="s">
        <v>6</v>
      </c>
      <c r="C20" s="9" t="s">
        <v>182</v>
      </c>
      <c r="D20" s="9" t="s">
        <v>183</v>
      </c>
      <c r="E20" s="9" t="s">
        <v>184</v>
      </c>
      <c r="F20" s="9" t="s">
        <v>185</v>
      </c>
      <c r="G20" s="9" t="s">
        <v>186</v>
      </c>
      <c r="H20" s="9" t="s">
        <v>187</v>
      </c>
      <c r="I20" s="9" t="s">
        <v>188</v>
      </c>
      <c r="J20" s="10" t="s">
        <v>189</v>
      </c>
    </row>
    <row r="21" customFormat="false" ht="15" hidden="false" customHeight="false" outlineLevel="0" collapsed="false">
      <c r="A21" s="9" t="s">
        <v>9</v>
      </c>
      <c r="B21" s="9" t="s">
        <v>6</v>
      </c>
      <c r="C21" s="9" t="s">
        <v>190</v>
      </c>
      <c r="D21" s="9" t="s">
        <v>191</v>
      </c>
      <c r="E21" s="9" t="s">
        <v>192</v>
      </c>
      <c r="F21" s="9" t="s">
        <v>193</v>
      </c>
      <c r="G21" s="9" t="s">
        <v>194</v>
      </c>
      <c r="H21" s="9" t="s">
        <v>195</v>
      </c>
      <c r="I21" s="9" t="s">
        <v>196</v>
      </c>
      <c r="J21" s="10" t="s">
        <v>197</v>
      </c>
    </row>
    <row r="22" customFormat="false" ht="15" hidden="false" customHeight="false" outlineLevel="0" collapsed="false">
      <c r="A22" s="9" t="s">
        <v>9</v>
      </c>
      <c r="B22" s="9" t="s">
        <v>6</v>
      </c>
      <c r="C22" s="9" t="s">
        <v>198</v>
      </c>
      <c r="D22" s="9" t="s">
        <v>199</v>
      </c>
      <c r="E22" s="9" t="s">
        <v>200</v>
      </c>
      <c r="F22" s="9" t="s">
        <v>10</v>
      </c>
      <c r="G22" s="9" t="s">
        <v>201</v>
      </c>
      <c r="H22" s="9" t="s">
        <v>202</v>
      </c>
      <c r="I22" s="9" t="s">
        <v>203</v>
      </c>
      <c r="J22" s="10" t="s">
        <v>204</v>
      </c>
    </row>
    <row r="23" customFormat="false" ht="15" hidden="false" customHeight="false" outlineLevel="0" collapsed="false">
      <c r="A23" s="9" t="s">
        <v>10</v>
      </c>
      <c r="B23" s="9" t="s">
        <v>11</v>
      </c>
      <c r="C23" s="9" t="s">
        <v>205</v>
      </c>
      <c r="D23" s="9" t="s">
        <v>206</v>
      </c>
      <c r="E23" s="9" t="s">
        <v>207</v>
      </c>
      <c r="F23" s="9" t="s">
        <v>12</v>
      </c>
      <c r="G23" s="9" t="s">
        <v>208</v>
      </c>
      <c r="H23" s="9" t="s">
        <v>209</v>
      </c>
      <c r="I23" s="9" t="s">
        <v>210</v>
      </c>
      <c r="J23" s="10" t="s">
        <v>211</v>
      </c>
    </row>
    <row r="24" customFormat="false" ht="15" hidden="false" customHeight="false" outlineLevel="0" collapsed="false">
      <c r="A24" s="9" t="s">
        <v>10</v>
      </c>
      <c r="B24" s="9" t="s">
        <v>11</v>
      </c>
      <c r="C24" s="9" t="s">
        <v>212</v>
      </c>
      <c r="D24" s="9" t="s">
        <v>213</v>
      </c>
      <c r="E24" s="9" t="s">
        <v>214</v>
      </c>
      <c r="F24" s="9" t="s">
        <v>16</v>
      </c>
      <c r="G24" s="9" t="s">
        <v>215</v>
      </c>
      <c r="H24" s="9" t="s">
        <v>216</v>
      </c>
      <c r="I24" s="9" t="s">
        <v>217</v>
      </c>
      <c r="J24" s="10" t="s">
        <v>218</v>
      </c>
    </row>
    <row r="25" customFormat="false" ht="23.85" hidden="false" customHeight="false" outlineLevel="0" collapsed="false">
      <c r="A25" s="9" t="s">
        <v>12</v>
      </c>
      <c r="B25" s="9" t="s">
        <v>13</v>
      </c>
      <c r="C25" s="9" t="s">
        <v>219</v>
      </c>
      <c r="D25" s="9" t="s">
        <v>220</v>
      </c>
      <c r="E25" s="9" t="s">
        <v>221</v>
      </c>
      <c r="F25" s="9" t="s">
        <v>185</v>
      </c>
      <c r="G25" s="9" t="s">
        <v>222</v>
      </c>
      <c r="H25" s="9" t="s">
        <v>223</v>
      </c>
      <c r="I25" s="9" t="s">
        <v>224</v>
      </c>
      <c r="J25" s="10" t="s">
        <v>225</v>
      </c>
    </row>
    <row r="26" customFormat="false" ht="15" hidden="false" customHeight="false" outlineLevel="0" collapsed="false">
      <c r="A26" s="9" t="s">
        <v>12</v>
      </c>
      <c r="B26" s="9" t="s">
        <v>13</v>
      </c>
      <c r="C26" s="9" t="s">
        <v>226</v>
      </c>
      <c r="D26" s="9" t="s">
        <v>227</v>
      </c>
      <c r="E26" s="9" t="s">
        <v>228</v>
      </c>
      <c r="F26" s="9" t="s">
        <v>93</v>
      </c>
      <c r="G26" s="9" t="s">
        <v>229</v>
      </c>
      <c r="H26" s="9" t="s">
        <v>230</v>
      </c>
      <c r="I26" s="9" t="s">
        <v>231</v>
      </c>
      <c r="J26" s="10" t="s">
        <v>232</v>
      </c>
    </row>
    <row r="27" customFormat="false" ht="23.85" hidden="false" customHeight="false" outlineLevel="0" collapsed="false">
      <c r="A27" s="9" t="s">
        <v>14</v>
      </c>
      <c r="B27" s="9" t="s">
        <v>15</v>
      </c>
      <c r="C27" s="9" t="s">
        <v>233</v>
      </c>
      <c r="D27" s="9" t="s">
        <v>234</v>
      </c>
      <c r="E27" s="9" t="s">
        <v>235</v>
      </c>
      <c r="F27" s="9" t="s">
        <v>93</v>
      </c>
      <c r="G27" s="9" t="s">
        <v>236</v>
      </c>
      <c r="H27" s="9" t="s">
        <v>237</v>
      </c>
      <c r="I27" s="9" t="s">
        <v>238</v>
      </c>
      <c r="J27" s="10" t="s">
        <v>239</v>
      </c>
    </row>
  </sheetData>
  <autoFilter ref="A1:J27"/>
  <hyperlinks>
    <hyperlink ref="J2" r:id="rId1" display="https://commons.wikimedia.org/wiki/File:Set_of_real_numbers_(diagram).svg"/>
    <hyperlink ref="J3" r:id="rId2" display="https://commons.wikimedia.org/wiki/File:Vector_from_A_to_B.svg"/>
    <hyperlink ref="J4" r:id="rId3" display="https://commons.wikimedia.org/wiki/File:Cartesian-coordinate-system-with-circle.svg"/>
    <hyperlink ref="J5" r:id="rId4" display="https://commons.wikimedia.org/wiki/File:Eigenvalue_equation.svg"/>
    <hyperlink ref="J6" r:id="rId5" display="https://commons.wikimedia.org/wiki/File:Cayley_table_Group_S3_RK01.svg"/>
    <hyperlink ref="J7" r:id="rId6" display="https://commons.wikimedia.org/wiki/File:Mvt2.svg"/>
    <hyperlink ref="J8" r:id="rId7" display="https://commons.wikimedia.org/wiki/File:Distance_point_line.svg"/>
    <hyperlink ref="J9" r:id="rId8" display="https://commons.wikimedia.org/wiki/File:Circle-trig6.svg"/>
    <hyperlink ref="J10" r:id="rId9" display="https://commons.wikimedia.org/wiki/File:Pythagorean-theorem.svg"/>
    <hyperlink ref="J11" r:id="rId10" display="https://commons.wikimedia.org/wiki/File:Conditional_probability.svg"/>
    <hyperlink ref="J12" r:id="rId11" display="https://commons.wikimedia.org/wiki/File:Binomial_distribution_pmf.svg"/>
    <hyperlink ref="J13" r:id="rId12" display="https://commons.wikimedia.org/wiki/File:Venn_A_intersect_B.svg"/>
    <hyperlink ref="J14" r:id="rId13" display="https://commons.wikimedia.org/wiki/File:Integral_as_region_under_curve.svg"/>
    <hyperlink ref="J15" r:id="rId14" display="https://commons.wikimedia.org/wiki/File:Complex_number_illustration.svg"/>
    <hyperlink ref="J16" r:id="rId15" display="https://commons.wikimedia.org/wiki/File:Euler%27s_formula.svg"/>
    <hyperlink ref="J17" r:id="rId16" display="https://commons.wikimedia.org/wiki/File:Clock_group.svg"/>
    <hyperlink ref="J18" r:id="rId17" display="https://commons.wikimedia.org/wiki/File:Public_key_encryption.svg"/>
    <hyperlink ref="J19" r:id="rId18" display="https://commons.wikimedia.org/wiki/File:Determinant_parallelepiped.svg"/>
    <hyperlink ref="J20" r:id="rId19" display="https://commons.wikimedia.org/wiki/File:Directed.svg"/>
    <hyperlink ref="J21" r:id="rId20" display="https://commons.wikimedia.org/wiki/File:Regular_polygon_6_annotated.svg"/>
    <hyperlink ref="J22" r:id="rId21" display="https://commons.wikimedia.org/wiki/File:AVLtreef.svg"/>
    <hyperlink ref="J23" r:id="rId22" display="https://commons.wikimedia.org/wiki/File:Taylorsine.svg"/>
    <hyperlink ref="J24" r:id="rId23" display="https://commons.wikimedia.org/wiki/File:Image_of_map_f_in_real_plane.svg"/>
    <hyperlink ref="J25" r:id="rId24" display="https://commons.wikimedia.org/wiki/File:Conic_sections_with_plane.svg"/>
    <hyperlink ref="J26" r:id="rId25" display="https://commons.wikimedia.org/wiki/File:Vector_norms.svg"/>
    <hyperlink ref="J27" r:id="rId26" display="https://commons.wikimedia.org/wiki/File:Gamma_plot.sv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70"/>
  </cols>
  <sheetData>
    <row r="1" customFormat="false" ht="35.05" hidden="false" customHeight="false" outlineLevel="0" collapsed="false">
      <c r="A1" s="8" t="s">
        <v>240</v>
      </c>
      <c r="B1" s="8" t="s">
        <v>241</v>
      </c>
      <c r="C1" s="8" t="s">
        <v>242</v>
      </c>
      <c r="D1" s="8" t="s">
        <v>243</v>
      </c>
      <c r="E1" s="8" t="s">
        <v>244</v>
      </c>
      <c r="F1" s="8" t="s">
        <v>245</v>
      </c>
      <c r="G1" s="8" t="s">
        <v>246</v>
      </c>
    </row>
    <row r="2" customFormat="false" ht="15" hidden="false" customHeight="false" outlineLevel="0" collapsed="false">
      <c r="A2" s="9" t="n">
        <v>1</v>
      </c>
      <c r="B2" s="9" t="s">
        <v>247</v>
      </c>
      <c r="C2" s="9" t="s">
        <v>248</v>
      </c>
      <c r="D2" s="9" t="s">
        <v>249</v>
      </c>
      <c r="E2" s="9" t="s">
        <v>250</v>
      </c>
      <c r="F2" s="9" t="s">
        <v>251</v>
      </c>
      <c r="G2" s="9" t="s">
        <v>252</v>
      </c>
    </row>
    <row r="3" customFormat="false" ht="15" hidden="false" customHeight="false" outlineLevel="0" collapsed="false">
      <c r="A3" s="9" t="n">
        <v>2</v>
      </c>
      <c r="B3" s="9" t="s">
        <v>253</v>
      </c>
      <c r="C3" s="9" t="s">
        <v>248</v>
      </c>
      <c r="D3" s="9" t="s">
        <v>254</v>
      </c>
      <c r="E3" s="9" t="s">
        <v>9</v>
      </c>
      <c r="F3" s="9" t="s">
        <v>104</v>
      </c>
      <c r="G3" s="9" t="s">
        <v>255</v>
      </c>
    </row>
    <row r="4" customFormat="false" ht="15" hidden="false" customHeight="false" outlineLevel="0" collapsed="false">
      <c r="A4" s="9" t="n">
        <v>3</v>
      </c>
      <c r="B4" s="9" t="s">
        <v>256</v>
      </c>
      <c r="C4" s="9" t="s">
        <v>248</v>
      </c>
      <c r="D4" s="9" t="s">
        <v>257</v>
      </c>
      <c r="E4" s="9" t="s">
        <v>9</v>
      </c>
      <c r="F4" s="9" t="s">
        <v>258</v>
      </c>
      <c r="G4" s="9" t="s">
        <v>252</v>
      </c>
    </row>
    <row r="5" customFormat="false" ht="15" hidden="false" customHeight="false" outlineLevel="0" collapsed="false">
      <c r="A5" s="9" t="n">
        <v>4</v>
      </c>
      <c r="B5" s="9" t="s">
        <v>259</v>
      </c>
      <c r="C5" s="9" t="s">
        <v>248</v>
      </c>
      <c r="D5" s="9" t="s">
        <v>87</v>
      </c>
      <c r="E5" s="9" t="s">
        <v>260</v>
      </c>
      <c r="F5" s="9" t="s">
        <v>88</v>
      </c>
      <c r="G5" s="9" t="s">
        <v>261</v>
      </c>
    </row>
    <row r="6" customFormat="false" ht="15" hidden="false" customHeight="false" outlineLevel="0" collapsed="false">
      <c r="A6" s="9" t="n">
        <v>5</v>
      </c>
      <c r="B6" s="9" t="s">
        <v>262</v>
      </c>
      <c r="C6" s="9" t="s">
        <v>248</v>
      </c>
      <c r="D6" s="9" t="s">
        <v>142</v>
      </c>
      <c r="E6" s="9" t="s">
        <v>85</v>
      </c>
      <c r="F6" s="9" t="s">
        <v>143</v>
      </c>
      <c r="G6" s="9" t="s">
        <v>263</v>
      </c>
    </row>
    <row r="7" customFormat="false" ht="15" hidden="false" customHeight="false" outlineLevel="0" collapsed="false">
      <c r="A7" s="9" t="n">
        <v>6</v>
      </c>
      <c r="B7" s="9" t="s">
        <v>264</v>
      </c>
      <c r="C7" s="9" t="s">
        <v>248</v>
      </c>
      <c r="D7" s="9" t="s">
        <v>265</v>
      </c>
      <c r="E7" s="9" t="s">
        <v>9</v>
      </c>
      <c r="F7" s="9" t="s">
        <v>72</v>
      </c>
      <c r="G7" s="9" t="s">
        <v>266</v>
      </c>
    </row>
    <row r="8" customFormat="false" ht="15" hidden="false" customHeight="false" outlineLevel="0" collapsed="false">
      <c r="A8" s="9" t="n">
        <v>7</v>
      </c>
      <c r="B8" s="9" t="s">
        <v>267</v>
      </c>
      <c r="C8" s="9" t="s">
        <v>248</v>
      </c>
      <c r="D8" s="9" t="s">
        <v>268</v>
      </c>
      <c r="E8" s="9" t="s">
        <v>14</v>
      </c>
      <c r="F8" s="9" t="s">
        <v>104</v>
      </c>
      <c r="G8" s="9" t="s">
        <v>255</v>
      </c>
    </row>
    <row r="9" customFormat="false" ht="23.85" hidden="false" customHeight="false" outlineLevel="0" collapsed="false">
      <c r="A9" s="9" t="n">
        <v>8</v>
      </c>
      <c r="B9" s="9" t="s">
        <v>269</v>
      </c>
      <c r="C9" s="9" t="s">
        <v>248</v>
      </c>
      <c r="D9" s="9" t="s">
        <v>150</v>
      </c>
      <c r="E9" s="9" t="s">
        <v>270</v>
      </c>
      <c r="F9" s="9" t="s">
        <v>151</v>
      </c>
      <c r="G9" s="9" t="s">
        <v>271</v>
      </c>
    </row>
    <row r="10" customFormat="false" ht="15" hidden="false" customHeight="false" outlineLevel="0" collapsed="false">
      <c r="A10" s="9" t="n">
        <v>8</v>
      </c>
      <c r="B10" s="9" t="s">
        <v>269</v>
      </c>
      <c r="C10" s="9" t="s">
        <v>248</v>
      </c>
      <c r="D10" s="9" t="s">
        <v>156</v>
      </c>
      <c r="E10" s="9" t="s">
        <v>9</v>
      </c>
      <c r="F10" s="9" t="s">
        <v>157</v>
      </c>
      <c r="G10" s="9" t="s">
        <v>272</v>
      </c>
    </row>
    <row r="11" customFormat="false" ht="15" hidden="false" customHeight="false" outlineLevel="0" collapsed="false">
      <c r="A11" s="9" t="n">
        <v>9</v>
      </c>
      <c r="B11" s="9" t="s">
        <v>273</v>
      </c>
      <c r="C11" s="9" t="s">
        <v>248</v>
      </c>
      <c r="D11" s="9" t="s">
        <v>274</v>
      </c>
      <c r="E11" s="9" t="s">
        <v>12</v>
      </c>
      <c r="F11" s="9" t="s">
        <v>275</v>
      </c>
      <c r="G11" s="9" t="s">
        <v>252</v>
      </c>
    </row>
    <row r="12" customFormat="false" ht="15" hidden="false" customHeight="false" outlineLevel="0" collapsed="false">
      <c r="A12" s="9" t="n">
        <v>10</v>
      </c>
      <c r="B12" s="9" t="s">
        <v>276</v>
      </c>
      <c r="C12" s="9" t="s">
        <v>248</v>
      </c>
      <c r="D12" s="9" t="s">
        <v>209</v>
      </c>
      <c r="E12" s="9" t="s">
        <v>10</v>
      </c>
      <c r="F12" s="9" t="s">
        <v>210</v>
      </c>
      <c r="G12" s="9" t="s">
        <v>277</v>
      </c>
    </row>
    <row r="13" customFormat="false" ht="23.85" hidden="false" customHeight="false" outlineLevel="0" collapsed="false">
      <c r="A13" s="9" t="n">
        <v>11</v>
      </c>
      <c r="B13" s="9" t="s">
        <v>278</v>
      </c>
      <c r="C13" s="9" t="s">
        <v>248</v>
      </c>
      <c r="D13" s="9" t="s">
        <v>279</v>
      </c>
      <c r="E13" s="9" t="s">
        <v>10</v>
      </c>
      <c r="F13" s="9" t="s">
        <v>275</v>
      </c>
      <c r="G13" s="9" t="s">
        <v>252</v>
      </c>
    </row>
    <row r="14" customFormat="false" ht="15" hidden="false" customHeight="false" outlineLevel="0" collapsed="false">
      <c r="A14" s="9" t="n">
        <v>12</v>
      </c>
      <c r="B14" s="9" t="s">
        <v>280</v>
      </c>
      <c r="C14" s="9" t="s">
        <v>248</v>
      </c>
      <c r="D14" s="9" t="s">
        <v>281</v>
      </c>
      <c r="E14" s="9" t="s">
        <v>85</v>
      </c>
      <c r="F14" s="9" t="s">
        <v>88</v>
      </c>
      <c r="G14" s="9" t="s">
        <v>261</v>
      </c>
    </row>
    <row r="15" customFormat="false" ht="15" hidden="false" customHeight="false" outlineLevel="0" collapsed="false">
      <c r="A15" s="9" t="n">
        <v>13</v>
      </c>
      <c r="B15" s="9" t="s">
        <v>282</v>
      </c>
      <c r="C15" s="9" t="s">
        <v>248</v>
      </c>
      <c r="D15" s="9" t="s">
        <v>283</v>
      </c>
      <c r="E15" s="9" t="s">
        <v>85</v>
      </c>
      <c r="F15" s="9" t="s">
        <v>143</v>
      </c>
      <c r="G15" s="9" t="s">
        <v>263</v>
      </c>
    </row>
    <row r="16" customFormat="false" ht="15" hidden="false" customHeight="false" outlineLevel="0" collapsed="false">
      <c r="A16" s="9" t="n">
        <v>14</v>
      </c>
      <c r="B16" s="9" t="s">
        <v>284</v>
      </c>
      <c r="C16" s="9" t="s">
        <v>248</v>
      </c>
      <c r="D16" s="9" t="s">
        <v>223</v>
      </c>
      <c r="E16" s="9" t="s">
        <v>12</v>
      </c>
      <c r="F16" s="9" t="s">
        <v>224</v>
      </c>
      <c r="G16" s="9" t="s">
        <v>285</v>
      </c>
    </row>
    <row r="17" customFormat="false" ht="15" hidden="false" customHeight="false" outlineLevel="0" collapsed="false">
      <c r="A17" s="9" t="n">
        <v>15</v>
      </c>
      <c r="B17" s="9" t="s">
        <v>286</v>
      </c>
      <c r="C17" s="9" t="s">
        <v>248</v>
      </c>
      <c r="D17" s="9" t="s">
        <v>287</v>
      </c>
      <c r="E17" s="9" t="s">
        <v>45</v>
      </c>
      <c r="F17" s="9" t="s">
        <v>72</v>
      </c>
      <c r="G17" s="9" t="s">
        <v>266</v>
      </c>
    </row>
    <row r="18" customFormat="false" ht="23.85" hidden="false" customHeight="false" outlineLevel="0" collapsed="false">
      <c r="A18" s="9" t="n">
        <v>16</v>
      </c>
      <c r="B18" s="9" t="s">
        <v>288</v>
      </c>
      <c r="C18" s="9" t="s">
        <v>248</v>
      </c>
      <c r="D18" s="9" t="s">
        <v>289</v>
      </c>
      <c r="E18" s="9" t="s">
        <v>14</v>
      </c>
      <c r="F18" s="9" t="s">
        <v>104</v>
      </c>
      <c r="G18" s="9" t="s">
        <v>255</v>
      </c>
    </row>
    <row r="19" customFormat="false" ht="23.85" hidden="false" customHeight="false" outlineLevel="0" collapsed="false">
      <c r="A19" s="9" t="n">
        <v>17</v>
      </c>
      <c r="B19" s="9" t="s">
        <v>290</v>
      </c>
      <c r="C19" s="9" t="s">
        <v>248</v>
      </c>
      <c r="D19" s="9" t="s">
        <v>291</v>
      </c>
      <c r="E19" s="9" t="s">
        <v>14</v>
      </c>
      <c r="F19" s="9" t="s">
        <v>64</v>
      </c>
      <c r="G19" s="9" t="s">
        <v>292</v>
      </c>
    </row>
    <row r="20" customFormat="false" ht="15" hidden="false" customHeight="false" outlineLevel="0" collapsed="false">
      <c r="A20" s="9" t="n">
        <v>18</v>
      </c>
      <c r="B20" s="9" t="s">
        <v>293</v>
      </c>
      <c r="C20" s="9" t="s">
        <v>248</v>
      </c>
      <c r="D20" s="9" t="s">
        <v>294</v>
      </c>
      <c r="E20" s="9" t="s">
        <v>16</v>
      </c>
      <c r="F20" s="9" t="s">
        <v>143</v>
      </c>
      <c r="G20" s="9" t="s">
        <v>263</v>
      </c>
    </row>
    <row r="21" customFormat="false" ht="23.85" hidden="false" customHeight="false" outlineLevel="0" collapsed="false">
      <c r="A21" s="9" t="n">
        <v>19</v>
      </c>
      <c r="B21" s="9" t="s">
        <v>295</v>
      </c>
      <c r="C21" s="9" t="s">
        <v>248</v>
      </c>
      <c r="D21" s="9" t="s">
        <v>296</v>
      </c>
      <c r="E21" s="9" t="s">
        <v>16</v>
      </c>
      <c r="F21" s="9" t="s">
        <v>297</v>
      </c>
      <c r="G21" s="9" t="s">
        <v>252</v>
      </c>
    </row>
    <row r="22" customFormat="false" ht="23.85" hidden="false" customHeight="false" outlineLevel="0" collapsed="false">
      <c r="A22" s="9" t="n">
        <v>20</v>
      </c>
      <c r="B22" s="9" t="s">
        <v>298</v>
      </c>
      <c r="C22" s="9" t="s">
        <v>248</v>
      </c>
      <c r="D22" s="9" t="s">
        <v>299</v>
      </c>
      <c r="E22" s="9" t="s">
        <v>14</v>
      </c>
      <c r="F22" s="9" t="s">
        <v>151</v>
      </c>
      <c r="G22" s="9" t="s">
        <v>271</v>
      </c>
    </row>
    <row r="23" customFormat="false" ht="15" hidden="false" customHeight="false" outlineLevel="0" collapsed="false">
      <c r="A23" s="9" t="n">
        <v>21</v>
      </c>
      <c r="B23" s="9" t="s">
        <v>300</v>
      </c>
      <c r="C23" s="9" t="s">
        <v>248</v>
      </c>
      <c r="D23" s="9" t="s">
        <v>301</v>
      </c>
      <c r="E23" s="9" t="s">
        <v>18</v>
      </c>
      <c r="F23" s="9" t="s">
        <v>302</v>
      </c>
      <c r="G23" s="9" t="s">
        <v>252</v>
      </c>
    </row>
    <row r="24" customFormat="false" ht="23.85" hidden="false" customHeight="false" outlineLevel="0" collapsed="false">
      <c r="A24" s="9" t="n">
        <v>22</v>
      </c>
      <c r="B24" s="9" t="s">
        <v>303</v>
      </c>
      <c r="C24" s="9" t="s">
        <v>248</v>
      </c>
      <c r="D24" s="9" t="s">
        <v>304</v>
      </c>
      <c r="E24" s="9" t="s">
        <v>16</v>
      </c>
      <c r="F24" s="9" t="s">
        <v>104</v>
      </c>
      <c r="G24" s="9" t="s">
        <v>255</v>
      </c>
    </row>
    <row r="25" customFormat="false" ht="23.85" hidden="false" customHeight="false" outlineLevel="0" collapsed="false">
      <c r="A25" s="9" t="n">
        <v>23</v>
      </c>
      <c r="B25" s="9" t="s">
        <v>305</v>
      </c>
      <c r="C25" s="9" t="s">
        <v>248</v>
      </c>
      <c r="D25" s="9" t="s">
        <v>306</v>
      </c>
      <c r="E25" s="9" t="s">
        <v>16</v>
      </c>
      <c r="F25" s="9" t="s">
        <v>224</v>
      </c>
      <c r="G25" s="9" t="s">
        <v>285</v>
      </c>
    </row>
    <row r="26" customFormat="false" ht="15" hidden="false" customHeight="false" outlineLevel="0" collapsed="false">
      <c r="A26" s="9" t="n">
        <v>24</v>
      </c>
      <c r="B26" s="9" t="s">
        <v>307</v>
      </c>
      <c r="C26" s="9" t="s">
        <v>248</v>
      </c>
      <c r="D26" s="9" t="s">
        <v>237</v>
      </c>
      <c r="E26" s="9" t="s">
        <v>14</v>
      </c>
      <c r="F26" s="9" t="s">
        <v>238</v>
      </c>
      <c r="G26" s="9" t="s">
        <v>308</v>
      </c>
    </row>
    <row r="27" customFormat="false" ht="15" hidden="false" customHeight="false" outlineLevel="0" collapsed="false">
      <c r="A27" s="9" t="n">
        <v>100</v>
      </c>
      <c r="B27" s="9" t="s">
        <v>309</v>
      </c>
      <c r="C27" s="9" t="s">
        <v>310</v>
      </c>
      <c r="D27" s="9" t="s">
        <v>47</v>
      </c>
      <c r="E27" s="9" t="s">
        <v>311</v>
      </c>
      <c r="F27" s="9" t="s">
        <v>48</v>
      </c>
      <c r="G27" s="9" t="s">
        <v>312</v>
      </c>
    </row>
    <row r="28" customFormat="false" ht="23.85" hidden="false" customHeight="false" outlineLevel="0" collapsed="false">
      <c r="A28" s="9" t="n">
        <v>101</v>
      </c>
      <c r="B28" s="9" t="s">
        <v>313</v>
      </c>
      <c r="C28" s="9" t="s">
        <v>310</v>
      </c>
      <c r="D28" s="9" t="s">
        <v>314</v>
      </c>
      <c r="E28" s="9" t="s">
        <v>9</v>
      </c>
      <c r="F28" s="9" t="s">
        <v>151</v>
      </c>
      <c r="G28" s="9" t="s">
        <v>271</v>
      </c>
    </row>
    <row r="29" customFormat="false" ht="15" hidden="false" customHeight="false" outlineLevel="0" collapsed="false">
      <c r="A29" s="9" t="n">
        <v>101</v>
      </c>
      <c r="B29" s="9" t="s">
        <v>313</v>
      </c>
      <c r="C29" s="9" t="s">
        <v>310</v>
      </c>
      <c r="D29" s="9" t="s">
        <v>156</v>
      </c>
      <c r="E29" s="9" t="s">
        <v>9</v>
      </c>
      <c r="F29" s="9" t="s">
        <v>157</v>
      </c>
      <c r="G29" s="9" t="s">
        <v>272</v>
      </c>
    </row>
    <row r="30" customFormat="false" ht="15" hidden="false" customHeight="false" outlineLevel="0" collapsed="false">
      <c r="A30" s="9" t="n">
        <v>102</v>
      </c>
      <c r="B30" s="9" t="s">
        <v>315</v>
      </c>
      <c r="C30" s="9" t="s">
        <v>310</v>
      </c>
      <c r="D30" s="9" t="s">
        <v>316</v>
      </c>
      <c r="E30" s="9" t="s">
        <v>7</v>
      </c>
      <c r="F30" s="9" t="s">
        <v>251</v>
      </c>
      <c r="G30" s="9" t="s">
        <v>252</v>
      </c>
    </row>
    <row r="31" customFormat="false" ht="15" hidden="false" customHeight="false" outlineLevel="0" collapsed="false">
      <c r="A31" s="9" t="n">
        <v>102</v>
      </c>
      <c r="B31" s="9" t="s">
        <v>315</v>
      </c>
      <c r="C31" s="9" t="s">
        <v>310</v>
      </c>
      <c r="D31" s="9" t="s">
        <v>317</v>
      </c>
      <c r="E31" s="9" t="s">
        <v>7</v>
      </c>
      <c r="F31" s="9" t="s">
        <v>275</v>
      </c>
      <c r="G31" s="9" t="s">
        <v>252</v>
      </c>
    </row>
    <row r="32" customFormat="false" ht="15" hidden="false" customHeight="false" outlineLevel="0" collapsed="false">
      <c r="A32" s="9" t="n">
        <v>102</v>
      </c>
      <c r="B32" s="9" t="s">
        <v>315</v>
      </c>
      <c r="C32" s="9" t="s">
        <v>310</v>
      </c>
      <c r="D32" s="9" t="s">
        <v>318</v>
      </c>
      <c r="E32" s="9" t="s">
        <v>7</v>
      </c>
      <c r="F32" s="9" t="s">
        <v>258</v>
      </c>
      <c r="G32" s="9" t="s">
        <v>252</v>
      </c>
    </row>
    <row r="33" customFormat="false" ht="15" hidden="false" customHeight="false" outlineLevel="0" collapsed="false">
      <c r="A33" s="9" t="n">
        <v>103</v>
      </c>
      <c r="B33" s="9" t="s">
        <v>319</v>
      </c>
      <c r="C33" s="9" t="s">
        <v>310</v>
      </c>
      <c r="D33" s="9" t="s">
        <v>320</v>
      </c>
      <c r="E33" s="9" t="s">
        <v>10</v>
      </c>
      <c r="F33" s="9" t="s">
        <v>321</v>
      </c>
      <c r="G33" s="9" t="s">
        <v>252</v>
      </c>
    </row>
    <row r="34" customFormat="false" ht="15" hidden="false" customHeight="false" outlineLevel="0" collapsed="false">
      <c r="A34" s="9" t="n">
        <v>103</v>
      </c>
      <c r="B34" s="9" t="s">
        <v>319</v>
      </c>
      <c r="C34" s="9" t="s">
        <v>310</v>
      </c>
      <c r="D34" s="9" t="s">
        <v>322</v>
      </c>
      <c r="E34" s="9" t="s">
        <v>10</v>
      </c>
      <c r="F34" s="9" t="s">
        <v>180</v>
      </c>
      <c r="G34" s="9" t="s">
        <v>323</v>
      </c>
    </row>
    <row r="35" customFormat="false" ht="15" hidden="false" customHeight="false" outlineLevel="0" collapsed="false">
      <c r="A35" s="9" t="n">
        <v>104</v>
      </c>
      <c r="B35" s="9" t="s">
        <v>324</v>
      </c>
      <c r="C35" s="9" t="s">
        <v>310</v>
      </c>
      <c r="D35" s="9" t="s">
        <v>325</v>
      </c>
      <c r="E35" s="9" t="s">
        <v>10</v>
      </c>
      <c r="F35" s="9" t="s">
        <v>297</v>
      </c>
      <c r="G35" s="9" t="s">
        <v>252</v>
      </c>
    </row>
    <row r="36" customFormat="false" ht="15" hidden="false" customHeight="false" outlineLevel="0" collapsed="false">
      <c r="A36" s="9" t="n">
        <v>105</v>
      </c>
      <c r="B36" s="9" t="s">
        <v>326</v>
      </c>
      <c r="C36" s="9" t="s">
        <v>310</v>
      </c>
      <c r="D36" s="9" t="s">
        <v>327</v>
      </c>
      <c r="E36" s="9" t="s">
        <v>10</v>
      </c>
      <c r="F36" s="9" t="s">
        <v>180</v>
      </c>
      <c r="G36" s="9" t="s">
        <v>323</v>
      </c>
    </row>
    <row r="37" customFormat="false" ht="15" hidden="false" customHeight="false" outlineLevel="0" collapsed="false">
      <c r="A37" s="9" t="n">
        <v>106</v>
      </c>
      <c r="B37" s="9" t="s">
        <v>328</v>
      </c>
      <c r="C37" s="9" t="s">
        <v>310</v>
      </c>
      <c r="D37" s="9" t="s">
        <v>216</v>
      </c>
      <c r="E37" s="9" t="s">
        <v>10</v>
      </c>
      <c r="F37" s="9" t="s">
        <v>217</v>
      </c>
      <c r="G37" s="9" t="s">
        <v>329</v>
      </c>
    </row>
    <row r="38" customFormat="false" ht="15" hidden="false" customHeight="false" outlineLevel="0" collapsed="false">
      <c r="A38" s="9" t="n">
        <v>107</v>
      </c>
      <c r="B38" s="9" t="s">
        <v>330</v>
      </c>
      <c r="C38" s="9" t="s">
        <v>310</v>
      </c>
      <c r="D38" s="9" t="s">
        <v>331</v>
      </c>
      <c r="E38" s="9" t="s">
        <v>12</v>
      </c>
      <c r="F38" s="9" t="s">
        <v>72</v>
      </c>
      <c r="G38" s="9" t="s">
        <v>266</v>
      </c>
    </row>
    <row r="39" customFormat="false" ht="15" hidden="false" customHeight="false" outlineLevel="0" collapsed="false">
      <c r="A39" s="9" t="n">
        <v>108</v>
      </c>
      <c r="B39" s="9" t="s">
        <v>332</v>
      </c>
      <c r="C39" s="9" t="s">
        <v>310</v>
      </c>
      <c r="D39" s="9" t="s">
        <v>333</v>
      </c>
      <c r="E39" s="9" t="s">
        <v>12</v>
      </c>
      <c r="F39" s="9" t="s">
        <v>72</v>
      </c>
      <c r="G39" s="9" t="s">
        <v>266</v>
      </c>
    </row>
    <row r="40" customFormat="false" ht="15" hidden="false" customHeight="false" outlineLevel="0" collapsed="false">
      <c r="A40" s="9" t="n">
        <v>108</v>
      </c>
      <c r="B40" s="9" t="s">
        <v>332</v>
      </c>
      <c r="C40" s="9" t="s">
        <v>310</v>
      </c>
      <c r="D40" s="9" t="s">
        <v>334</v>
      </c>
      <c r="E40" s="9" t="s">
        <v>12</v>
      </c>
      <c r="F40" s="9" t="s">
        <v>321</v>
      </c>
      <c r="G40" s="9" t="s">
        <v>252</v>
      </c>
    </row>
    <row r="41" customFormat="false" ht="15" hidden="false" customHeight="false" outlineLevel="0" collapsed="false">
      <c r="A41" s="9" t="n">
        <v>109</v>
      </c>
      <c r="B41" s="9" t="s">
        <v>335</v>
      </c>
      <c r="C41" s="9" t="s">
        <v>310</v>
      </c>
      <c r="D41" s="9" t="s">
        <v>336</v>
      </c>
      <c r="E41" s="9" t="s">
        <v>12</v>
      </c>
      <c r="F41" s="9" t="s">
        <v>224</v>
      </c>
      <c r="G41" s="9" t="s">
        <v>285</v>
      </c>
    </row>
    <row r="42" customFormat="false" ht="15" hidden="false" customHeight="false" outlineLevel="0" collapsed="false">
      <c r="A42" s="9" t="n">
        <v>110</v>
      </c>
      <c r="B42" s="9" t="s">
        <v>337</v>
      </c>
      <c r="C42" s="9" t="s">
        <v>310</v>
      </c>
      <c r="D42" s="9" t="s">
        <v>338</v>
      </c>
      <c r="E42" s="9" t="s">
        <v>12</v>
      </c>
      <c r="F42" s="9" t="s">
        <v>80</v>
      </c>
      <c r="G42" s="9" t="s">
        <v>339</v>
      </c>
    </row>
    <row r="43" customFormat="false" ht="15" hidden="false" customHeight="false" outlineLevel="0" collapsed="false">
      <c r="A43" s="9" t="n">
        <v>110</v>
      </c>
      <c r="B43" s="9" t="s">
        <v>337</v>
      </c>
      <c r="C43" s="9" t="s">
        <v>310</v>
      </c>
      <c r="D43" s="9" t="s">
        <v>340</v>
      </c>
      <c r="E43" s="9" t="s">
        <v>12</v>
      </c>
      <c r="F43" s="9" t="s">
        <v>165</v>
      </c>
      <c r="G43" s="9" t="s">
        <v>341</v>
      </c>
    </row>
    <row r="44" customFormat="false" ht="15" hidden="false" customHeight="false" outlineLevel="0" collapsed="false">
      <c r="A44" s="9" t="n">
        <v>111</v>
      </c>
      <c r="B44" s="9" t="s">
        <v>342</v>
      </c>
      <c r="C44" s="9" t="s">
        <v>310</v>
      </c>
      <c r="D44" s="9" t="s">
        <v>343</v>
      </c>
      <c r="E44" s="9" t="s">
        <v>12</v>
      </c>
      <c r="F44" s="9" t="s">
        <v>165</v>
      </c>
      <c r="G44" s="9" t="s">
        <v>341</v>
      </c>
    </row>
    <row r="45" customFormat="false" ht="15" hidden="false" customHeight="false" outlineLevel="0" collapsed="false">
      <c r="A45" s="9" t="n">
        <v>112</v>
      </c>
      <c r="B45" s="9" t="s">
        <v>344</v>
      </c>
      <c r="C45" s="9" t="s">
        <v>310</v>
      </c>
      <c r="D45" s="9" t="s">
        <v>345</v>
      </c>
      <c r="E45" s="9" t="s">
        <v>12</v>
      </c>
      <c r="F45" s="9" t="s">
        <v>48</v>
      </c>
      <c r="G45" s="9" t="s">
        <v>312</v>
      </c>
    </row>
    <row r="46" customFormat="false" ht="15" hidden="false" customHeight="false" outlineLevel="0" collapsed="false">
      <c r="A46" s="9" t="n">
        <v>113</v>
      </c>
      <c r="B46" s="9" t="s">
        <v>346</v>
      </c>
      <c r="C46" s="9" t="s">
        <v>310</v>
      </c>
      <c r="D46" s="9" t="s">
        <v>164</v>
      </c>
      <c r="E46" s="9" t="s">
        <v>9</v>
      </c>
      <c r="F46" s="9" t="s">
        <v>165</v>
      </c>
      <c r="G46" s="9" t="s">
        <v>341</v>
      </c>
    </row>
    <row r="47" customFormat="false" ht="15" hidden="false" customHeight="false" outlineLevel="0" collapsed="false">
      <c r="A47" s="9" t="n">
        <v>114</v>
      </c>
      <c r="B47" s="9" t="s">
        <v>347</v>
      </c>
      <c r="C47" s="9" t="s">
        <v>310</v>
      </c>
      <c r="D47" s="9" t="s">
        <v>172</v>
      </c>
      <c r="E47" s="9" t="s">
        <v>9</v>
      </c>
      <c r="F47" s="9" t="s">
        <v>173</v>
      </c>
      <c r="G47" s="9" t="s">
        <v>348</v>
      </c>
    </row>
    <row r="48" customFormat="false" ht="23.85" hidden="false" customHeight="false" outlineLevel="0" collapsed="false">
      <c r="A48" s="9" t="n">
        <v>121</v>
      </c>
      <c r="B48" s="9" t="s">
        <v>349</v>
      </c>
      <c r="C48" s="9" t="s">
        <v>310</v>
      </c>
      <c r="D48" s="9" t="s">
        <v>350</v>
      </c>
      <c r="E48" s="9" t="s">
        <v>10</v>
      </c>
      <c r="F48" s="9" t="s">
        <v>165</v>
      </c>
      <c r="G48" s="9" t="s">
        <v>341</v>
      </c>
    </row>
    <row r="49" customFormat="false" ht="23.85" hidden="false" customHeight="false" outlineLevel="0" collapsed="false">
      <c r="A49" s="9" t="n">
        <v>122</v>
      </c>
      <c r="B49" s="9" t="s">
        <v>351</v>
      </c>
      <c r="C49" s="9" t="s">
        <v>310</v>
      </c>
      <c r="D49" s="9" t="s">
        <v>352</v>
      </c>
      <c r="E49" s="9" t="s">
        <v>12</v>
      </c>
      <c r="F49" s="9" t="s">
        <v>80</v>
      </c>
      <c r="G49" s="9" t="s">
        <v>339</v>
      </c>
    </row>
    <row r="50" customFormat="false" ht="23.85" hidden="false" customHeight="false" outlineLevel="0" collapsed="false">
      <c r="A50" s="9" t="n">
        <v>123</v>
      </c>
      <c r="B50" s="9" t="s">
        <v>353</v>
      </c>
      <c r="C50" s="9" t="s">
        <v>310</v>
      </c>
      <c r="D50" s="9" t="s">
        <v>354</v>
      </c>
      <c r="E50" s="9" t="s">
        <v>355</v>
      </c>
      <c r="F50" s="9" t="s">
        <v>72</v>
      </c>
      <c r="G50" s="9" t="s">
        <v>266</v>
      </c>
    </row>
    <row r="51" customFormat="false" ht="23.85" hidden="false" customHeight="false" outlineLevel="0" collapsed="false">
      <c r="A51" s="9" t="n">
        <v>124</v>
      </c>
      <c r="B51" s="9" t="s">
        <v>356</v>
      </c>
      <c r="C51" s="9" t="s">
        <v>310</v>
      </c>
      <c r="D51" s="9" t="s">
        <v>357</v>
      </c>
      <c r="E51" s="9" t="s">
        <v>12</v>
      </c>
      <c r="F51" s="9" t="s">
        <v>297</v>
      </c>
      <c r="G51" s="9" t="s">
        <v>252</v>
      </c>
    </row>
    <row r="52" customFormat="false" ht="15" hidden="false" customHeight="false" outlineLevel="0" collapsed="false">
      <c r="A52" s="9" t="n">
        <v>125</v>
      </c>
      <c r="B52" s="9" t="s">
        <v>358</v>
      </c>
      <c r="C52" s="9" t="s">
        <v>310</v>
      </c>
      <c r="D52" s="9" t="s">
        <v>359</v>
      </c>
      <c r="E52" s="9" t="s">
        <v>16</v>
      </c>
      <c r="F52" s="9" t="s">
        <v>80</v>
      </c>
      <c r="G52" s="9" t="s">
        <v>339</v>
      </c>
    </row>
    <row r="53" customFormat="false" ht="23.85" hidden="false" customHeight="false" outlineLevel="0" collapsed="false">
      <c r="A53" s="9" t="n">
        <v>126</v>
      </c>
      <c r="B53" s="9" t="s">
        <v>360</v>
      </c>
      <c r="C53" s="9" t="s">
        <v>310</v>
      </c>
      <c r="D53" s="9" t="s">
        <v>361</v>
      </c>
      <c r="E53" s="9" t="s">
        <v>18</v>
      </c>
      <c r="F53" s="9" t="s">
        <v>165</v>
      </c>
      <c r="G53" s="9" t="s">
        <v>341</v>
      </c>
    </row>
    <row r="54" customFormat="false" ht="15" hidden="false" customHeight="false" outlineLevel="0" collapsed="false">
      <c r="A54" s="9" t="n">
        <v>127</v>
      </c>
      <c r="B54" s="9" t="s">
        <v>362</v>
      </c>
      <c r="C54" s="9" t="s">
        <v>310</v>
      </c>
      <c r="D54" s="9" t="s">
        <v>363</v>
      </c>
      <c r="E54" s="9" t="s">
        <v>18</v>
      </c>
      <c r="F54" s="9" t="s">
        <v>80</v>
      </c>
      <c r="G54" s="9" t="s">
        <v>339</v>
      </c>
    </row>
    <row r="55" customFormat="false" ht="15" hidden="false" customHeight="false" outlineLevel="0" collapsed="false">
      <c r="A55" s="9" t="n">
        <v>128</v>
      </c>
      <c r="B55" s="9" t="s">
        <v>364</v>
      </c>
      <c r="C55" s="9" t="s">
        <v>310</v>
      </c>
      <c r="D55" s="9" t="s">
        <v>365</v>
      </c>
      <c r="E55" s="9" t="s">
        <v>14</v>
      </c>
      <c r="F55" s="9" t="s">
        <v>224</v>
      </c>
      <c r="G55" s="9" t="s">
        <v>285</v>
      </c>
    </row>
    <row r="56" customFormat="false" ht="23.85" hidden="false" customHeight="false" outlineLevel="0" collapsed="false">
      <c r="A56" s="9" t="n">
        <v>129</v>
      </c>
      <c r="B56" s="9" t="s">
        <v>366</v>
      </c>
      <c r="C56" s="9" t="s">
        <v>310</v>
      </c>
      <c r="D56" s="9" t="s">
        <v>367</v>
      </c>
      <c r="E56" s="9" t="s">
        <v>16</v>
      </c>
      <c r="F56" s="9" t="s">
        <v>180</v>
      </c>
      <c r="G56" s="9" t="s">
        <v>323</v>
      </c>
    </row>
    <row r="57" customFormat="false" ht="15" hidden="false" customHeight="false" outlineLevel="0" collapsed="false">
      <c r="A57" s="9" t="n">
        <v>130</v>
      </c>
      <c r="B57" s="9" t="s">
        <v>368</v>
      </c>
      <c r="C57" s="9" t="s">
        <v>310</v>
      </c>
      <c r="D57" s="9" t="s">
        <v>369</v>
      </c>
      <c r="E57" s="9" t="s">
        <v>16</v>
      </c>
      <c r="F57" s="9" t="s">
        <v>165</v>
      </c>
      <c r="G57" s="9" t="s">
        <v>341</v>
      </c>
    </row>
    <row r="58" customFormat="false" ht="23.85" hidden="false" customHeight="false" outlineLevel="0" collapsed="false">
      <c r="A58" s="9" t="n">
        <v>131</v>
      </c>
      <c r="B58" s="9" t="s">
        <v>370</v>
      </c>
      <c r="C58" s="9" t="s">
        <v>310</v>
      </c>
      <c r="D58" s="9" t="s">
        <v>371</v>
      </c>
      <c r="E58" s="9" t="s">
        <v>18</v>
      </c>
      <c r="F58" s="9" t="s">
        <v>258</v>
      </c>
      <c r="G58" s="9" t="s">
        <v>252</v>
      </c>
    </row>
    <row r="59" customFormat="false" ht="15" hidden="false" customHeight="false" outlineLevel="0" collapsed="false">
      <c r="A59" s="9" t="n">
        <v>132</v>
      </c>
      <c r="B59" s="9" t="s">
        <v>372</v>
      </c>
      <c r="C59" s="9" t="s">
        <v>310</v>
      </c>
      <c r="D59" s="9" t="s">
        <v>373</v>
      </c>
      <c r="E59" s="9" t="s">
        <v>374</v>
      </c>
      <c r="F59" s="9" t="s">
        <v>72</v>
      </c>
      <c r="G59" s="9" t="s">
        <v>266</v>
      </c>
    </row>
    <row r="60" customFormat="false" ht="23.85" hidden="false" customHeight="false" outlineLevel="0" collapsed="false">
      <c r="A60" s="9" t="n">
        <v>133</v>
      </c>
      <c r="B60" s="9" t="s">
        <v>375</v>
      </c>
      <c r="C60" s="9" t="s">
        <v>310</v>
      </c>
      <c r="D60" s="9" t="s">
        <v>376</v>
      </c>
      <c r="E60" s="9" t="s">
        <v>170</v>
      </c>
      <c r="F60" s="9" t="s">
        <v>165</v>
      </c>
      <c r="G60" s="9" t="s">
        <v>341</v>
      </c>
    </row>
    <row r="61" customFormat="false" ht="15" hidden="false" customHeight="false" outlineLevel="0" collapsed="false">
      <c r="A61" s="9" t="n">
        <v>134</v>
      </c>
      <c r="B61" s="9" t="s">
        <v>377</v>
      </c>
      <c r="C61" s="9" t="s">
        <v>310</v>
      </c>
      <c r="D61" s="9" t="s">
        <v>378</v>
      </c>
      <c r="E61" s="9" t="s">
        <v>170</v>
      </c>
      <c r="F61" s="9" t="s">
        <v>173</v>
      </c>
      <c r="G61" s="9" t="s">
        <v>348</v>
      </c>
    </row>
    <row r="62" customFormat="false" ht="15" hidden="false" customHeight="false" outlineLevel="0" collapsed="false">
      <c r="A62" s="9" t="n">
        <v>200</v>
      </c>
      <c r="B62" s="9" t="s">
        <v>379</v>
      </c>
      <c r="C62" s="9" t="s">
        <v>380</v>
      </c>
      <c r="D62" s="9" t="s">
        <v>95</v>
      </c>
      <c r="E62" s="9" t="s">
        <v>7</v>
      </c>
      <c r="F62" s="9" t="s">
        <v>96</v>
      </c>
      <c r="G62" s="9" t="s">
        <v>381</v>
      </c>
    </row>
    <row r="63" customFormat="false" ht="15" hidden="false" customHeight="false" outlineLevel="0" collapsed="false">
      <c r="A63" s="9" t="n">
        <v>201</v>
      </c>
      <c r="B63" s="9" t="s">
        <v>382</v>
      </c>
      <c r="C63" s="9" t="s">
        <v>380</v>
      </c>
      <c r="D63" s="9" t="s">
        <v>55</v>
      </c>
      <c r="E63" s="9" t="s">
        <v>383</v>
      </c>
      <c r="F63" s="9" t="s">
        <v>56</v>
      </c>
      <c r="G63" s="9" t="s">
        <v>384</v>
      </c>
    </row>
    <row r="64" customFormat="false" ht="15" hidden="false" customHeight="false" outlineLevel="0" collapsed="false">
      <c r="A64" s="9" t="n">
        <v>202</v>
      </c>
      <c r="B64" s="9" t="s">
        <v>385</v>
      </c>
      <c r="C64" s="9" t="s">
        <v>380</v>
      </c>
      <c r="D64" s="9" t="s">
        <v>386</v>
      </c>
      <c r="E64" s="9" t="s">
        <v>387</v>
      </c>
      <c r="F64" s="9" t="s">
        <v>56</v>
      </c>
      <c r="G64" s="9" t="s">
        <v>384</v>
      </c>
    </row>
    <row r="65" customFormat="false" ht="15" hidden="false" customHeight="false" outlineLevel="0" collapsed="false">
      <c r="A65" s="9" t="n">
        <v>203</v>
      </c>
      <c r="B65" s="9" t="s">
        <v>388</v>
      </c>
      <c r="C65" s="9" t="s">
        <v>380</v>
      </c>
      <c r="D65" s="9" t="s">
        <v>103</v>
      </c>
      <c r="E65" s="9" t="s">
        <v>7</v>
      </c>
      <c r="F65" s="9" t="s">
        <v>104</v>
      </c>
      <c r="G65" s="9" t="s">
        <v>255</v>
      </c>
    </row>
    <row r="66" customFormat="false" ht="15" hidden="false" customHeight="false" outlineLevel="0" collapsed="false">
      <c r="A66" s="9" t="n">
        <v>204</v>
      </c>
      <c r="B66" s="9" t="s">
        <v>389</v>
      </c>
      <c r="C66" s="9" t="s">
        <v>380</v>
      </c>
      <c r="D66" s="9" t="s">
        <v>63</v>
      </c>
      <c r="E66" s="9" t="s">
        <v>5</v>
      </c>
      <c r="F66" s="9" t="s">
        <v>64</v>
      </c>
      <c r="G66" s="9" t="s">
        <v>292</v>
      </c>
    </row>
    <row r="67" customFormat="false" ht="15" hidden="false" customHeight="false" outlineLevel="0" collapsed="false">
      <c r="A67" s="9" t="n">
        <v>204</v>
      </c>
      <c r="B67" s="9" t="s">
        <v>389</v>
      </c>
      <c r="C67" s="9" t="s">
        <v>380</v>
      </c>
      <c r="D67" s="9" t="s">
        <v>390</v>
      </c>
      <c r="E67" s="9" t="s">
        <v>391</v>
      </c>
      <c r="F67" s="9" t="s">
        <v>392</v>
      </c>
      <c r="G67" s="9" t="s">
        <v>393</v>
      </c>
    </row>
    <row r="68" customFormat="false" ht="15" hidden="false" customHeight="false" outlineLevel="0" collapsed="false">
      <c r="A68" s="9" t="n">
        <v>205</v>
      </c>
      <c r="B68" s="9" t="s">
        <v>394</v>
      </c>
      <c r="C68" s="9" t="s">
        <v>380</v>
      </c>
      <c r="D68" s="9" t="s">
        <v>395</v>
      </c>
      <c r="E68" s="9" t="s">
        <v>391</v>
      </c>
      <c r="F68" s="9" t="s">
        <v>396</v>
      </c>
      <c r="G68" s="9" t="s">
        <v>393</v>
      </c>
    </row>
    <row r="69" customFormat="false" ht="15" hidden="false" customHeight="false" outlineLevel="0" collapsed="false">
      <c r="A69" s="9" t="n">
        <v>206</v>
      </c>
      <c r="B69" s="9" t="s">
        <v>397</v>
      </c>
      <c r="C69" s="9" t="s">
        <v>380</v>
      </c>
      <c r="D69" s="9" t="s">
        <v>398</v>
      </c>
      <c r="E69" s="9" t="s">
        <v>399</v>
      </c>
      <c r="F69" s="9" t="s">
        <v>112</v>
      </c>
      <c r="G69" s="9" t="s">
        <v>400</v>
      </c>
    </row>
    <row r="70" customFormat="false" ht="15" hidden="false" customHeight="false" outlineLevel="0" collapsed="false">
      <c r="A70" s="9" t="n">
        <v>207</v>
      </c>
      <c r="B70" s="9" t="s">
        <v>401</v>
      </c>
      <c r="C70" s="9" t="s">
        <v>380</v>
      </c>
      <c r="D70" s="9" t="s">
        <v>402</v>
      </c>
      <c r="E70" s="9" t="s">
        <v>403</v>
      </c>
      <c r="F70" s="9" t="s">
        <v>104</v>
      </c>
      <c r="G70" s="9" t="s">
        <v>255</v>
      </c>
    </row>
    <row r="71" customFormat="false" ht="15" hidden="false" customHeight="false" outlineLevel="0" collapsed="false">
      <c r="A71" s="9" t="n">
        <v>208</v>
      </c>
      <c r="B71" s="9" t="s">
        <v>404</v>
      </c>
      <c r="C71" s="9" t="s">
        <v>380</v>
      </c>
      <c r="D71" s="9" t="s">
        <v>405</v>
      </c>
      <c r="E71" s="9" t="s">
        <v>406</v>
      </c>
      <c r="F71" s="9" t="s">
        <v>407</v>
      </c>
      <c r="G71" s="9" t="s">
        <v>393</v>
      </c>
    </row>
    <row r="72" customFormat="false" ht="23.85" hidden="false" customHeight="false" outlineLevel="0" collapsed="false">
      <c r="A72" s="9" t="n">
        <v>209</v>
      </c>
      <c r="B72" s="9" t="s">
        <v>408</v>
      </c>
      <c r="C72" s="9" t="s">
        <v>380</v>
      </c>
      <c r="D72" s="9" t="s">
        <v>409</v>
      </c>
      <c r="E72" s="9" t="s">
        <v>9</v>
      </c>
      <c r="F72" s="9" t="s">
        <v>151</v>
      </c>
      <c r="G72" s="9" t="s">
        <v>271</v>
      </c>
    </row>
    <row r="73" customFormat="false" ht="15" hidden="false" customHeight="false" outlineLevel="0" collapsed="false">
      <c r="A73" s="9" t="n">
        <v>209</v>
      </c>
      <c r="B73" s="9" t="s">
        <v>408</v>
      </c>
      <c r="C73" s="9" t="s">
        <v>380</v>
      </c>
      <c r="D73" s="9" t="s">
        <v>410</v>
      </c>
      <c r="E73" s="9" t="s">
        <v>9</v>
      </c>
      <c r="F73" s="9" t="s">
        <v>157</v>
      </c>
      <c r="G73" s="9" t="s">
        <v>272</v>
      </c>
    </row>
    <row r="74" customFormat="false" ht="23.85" hidden="false" customHeight="false" outlineLevel="0" collapsed="false">
      <c r="A74" s="9" t="n">
        <v>210</v>
      </c>
      <c r="B74" s="9" t="s">
        <v>411</v>
      </c>
      <c r="C74" s="9" t="s">
        <v>380</v>
      </c>
      <c r="D74" s="9" t="s">
        <v>412</v>
      </c>
      <c r="E74" s="9" t="s">
        <v>399</v>
      </c>
      <c r="F74" s="9" t="s">
        <v>196</v>
      </c>
      <c r="G74" s="9" t="s">
        <v>413</v>
      </c>
    </row>
    <row r="75" customFormat="false" ht="23.85" hidden="false" customHeight="false" outlineLevel="0" collapsed="false">
      <c r="A75" s="9" t="n">
        <v>211</v>
      </c>
      <c r="B75" s="9" t="s">
        <v>414</v>
      </c>
      <c r="C75" s="9" t="s">
        <v>380</v>
      </c>
      <c r="D75" s="9" t="s">
        <v>415</v>
      </c>
      <c r="E75" s="9" t="s">
        <v>9</v>
      </c>
      <c r="F75" s="9" t="s">
        <v>151</v>
      </c>
      <c r="G75" s="9" t="s">
        <v>271</v>
      </c>
    </row>
    <row r="76" customFormat="false" ht="15" hidden="false" customHeight="false" outlineLevel="0" collapsed="false">
      <c r="A76" s="9" t="n">
        <v>212</v>
      </c>
      <c r="B76" s="9" t="s">
        <v>416</v>
      </c>
      <c r="C76" s="9" t="s">
        <v>380</v>
      </c>
      <c r="D76" s="9" t="s">
        <v>417</v>
      </c>
      <c r="E76" s="9" t="s">
        <v>418</v>
      </c>
      <c r="F76" s="9" t="s">
        <v>64</v>
      </c>
      <c r="G76" s="9" t="s">
        <v>292</v>
      </c>
    </row>
    <row r="77" customFormat="false" ht="23.85" hidden="false" customHeight="false" outlineLevel="0" collapsed="false">
      <c r="A77" s="9" t="n">
        <v>213</v>
      </c>
      <c r="B77" s="9" t="s">
        <v>419</v>
      </c>
      <c r="C77" s="9" t="s">
        <v>380</v>
      </c>
      <c r="D77" s="9" t="s">
        <v>420</v>
      </c>
      <c r="E77" s="9" t="s">
        <v>406</v>
      </c>
      <c r="F77" s="9" t="s">
        <v>56</v>
      </c>
      <c r="G77" s="9" t="s">
        <v>384</v>
      </c>
    </row>
    <row r="78" customFormat="false" ht="23.85" hidden="false" customHeight="false" outlineLevel="0" collapsed="false">
      <c r="A78" s="9" t="n">
        <v>214</v>
      </c>
      <c r="B78" s="9" t="s">
        <v>421</v>
      </c>
      <c r="C78" s="9" t="s">
        <v>380</v>
      </c>
      <c r="D78" s="9" t="s">
        <v>422</v>
      </c>
      <c r="E78" s="9" t="s">
        <v>423</v>
      </c>
      <c r="F78" s="9" t="s">
        <v>151</v>
      </c>
      <c r="G78" s="9" t="s">
        <v>271</v>
      </c>
    </row>
    <row r="79" customFormat="false" ht="23.85" hidden="false" customHeight="false" outlineLevel="0" collapsed="false">
      <c r="A79" s="9" t="n">
        <v>215</v>
      </c>
      <c r="B79" s="9" t="s">
        <v>424</v>
      </c>
      <c r="C79" s="9" t="s">
        <v>380</v>
      </c>
      <c r="D79" s="9" t="s">
        <v>425</v>
      </c>
      <c r="E79" s="9" t="s">
        <v>10</v>
      </c>
      <c r="F79" s="9" t="s">
        <v>217</v>
      </c>
      <c r="G79" s="9" t="s">
        <v>329</v>
      </c>
    </row>
    <row r="80" customFormat="false" ht="15" hidden="false" customHeight="false" outlineLevel="0" collapsed="false">
      <c r="A80" s="9" t="n">
        <v>216</v>
      </c>
      <c r="B80" s="9" t="s">
        <v>426</v>
      </c>
      <c r="C80" s="9" t="s">
        <v>380</v>
      </c>
      <c r="D80" s="9" t="s">
        <v>427</v>
      </c>
      <c r="E80" s="9" t="s">
        <v>260</v>
      </c>
      <c r="F80" s="9" t="s">
        <v>56</v>
      </c>
      <c r="G80" s="9" t="s">
        <v>384</v>
      </c>
    </row>
    <row r="81" customFormat="false" ht="15" hidden="false" customHeight="false" outlineLevel="0" collapsed="false">
      <c r="A81" s="9" t="n">
        <v>217</v>
      </c>
      <c r="B81" s="9" t="s">
        <v>428</v>
      </c>
      <c r="C81" s="9" t="s">
        <v>380</v>
      </c>
      <c r="D81" s="9" t="s">
        <v>179</v>
      </c>
      <c r="E81" s="9" t="s">
        <v>9</v>
      </c>
      <c r="F81" s="9" t="s">
        <v>180</v>
      </c>
      <c r="G81" s="9" t="s">
        <v>323</v>
      </c>
    </row>
    <row r="82" customFormat="false" ht="15" hidden="false" customHeight="false" outlineLevel="0" collapsed="false">
      <c r="A82" s="9" t="n">
        <v>218</v>
      </c>
      <c r="B82" s="9" t="s">
        <v>429</v>
      </c>
      <c r="C82" s="9" t="s">
        <v>380</v>
      </c>
      <c r="D82" s="9" t="s">
        <v>430</v>
      </c>
      <c r="E82" s="9" t="s">
        <v>391</v>
      </c>
      <c r="F82" s="9" t="s">
        <v>431</v>
      </c>
      <c r="G82" s="9" t="s">
        <v>393</v>
      </c>
    </row>
    <row r="83" customFormat="false" ht="15" hidden="false" customHeight="false" outlineLevel="0" collapsed="false">
      <c r="A83" s="9" t="n">
        <v>219</v>
      </c>
      <c r="B83" s="9" t="s">
        <v>432</v>
      </c>
      <c r="C83" s="9" t="s">
        <v>380</v>
      </c>
      <c r="D83" s="9" t="s">
        <v>433</v>
      </c>
      <c r="E83" s="9" t="s">
        <v>434</v>
      </c>
      <c r="F83" s="9" t="s">
        <v>431</v>
      </c>
      <c r="G83" s="9" t="s">
        <v>393</v>
      </c>
    </row>
    <row r="84" customFormat="false" ht="15" hidden="false" customHeight="false" outlineLevel="0" collapsed="false">
      <c r="A84" s="9" t="n">
        <v>220</v>
      </c>
      <c r="B84" s="9" t="s">
        <v>435</v>
      </c>
      <c r="C84" s="9" t="s">
        <v>380</v>
      </c>
      <c r="D84" s="9" t="s">
        <v>436</v>
      </c>
      <c r="E84" s="9" t="s">
        <v>387</v>
      </c>
      <c r="F84" s="9" t="s">
        <v>431</v>
      </c>
      <c r="G84" s="9" t="s">
        <v>393</v>
      </c>
    </row>
    <row r="85" customFormat="false" ht="15" hidden="false" customHeight="false" outlineLevel="0" collapsed="false">
      <c r="A85" s="9" t="n">
        <v>221</v>
      </c>
      <c r="B85" s="9" t="s">
        <v>437</v>
      </c>
      <c r="C85" s="9" t="s">
        <v>380</v>
      </c>
      <c r="D85" s="9" t="s">
        <v>438</v>
      </c>
      <c r="E85" s="9" t="s">
        <v>14</v>
      </c>
      <c r="F85" s="9" t="s">
        <v>56</v>
      </c>
      <c r="G85" s="9" t="s">
        <v>384</v>
      </c>
    </row>
    <row r="86" customFormat="false" ht="15" hidden="false" customHeight="false" outlineLevel="0" collapsed="false">
      <c r="A86" s="9" t="n">
        <v>222</v>
      </c>
      <c r="B86" s="9" t="s">
        <v>439</v>
      </c>
      <c r="C86" s="9" t="s">
        <v>380</v>
      </c>
      <c r="D86" s="9" t="s">
        <v>440</v>
      </c>
      <c r="E86" s="9" t="s">
        <v>16</v>
      </c>
      <c r="F86" s="9" t="s">
        <v>224</v>
      </c>
      <c r="G86" s="9" t="s">
        <v>285</v>
      </c>
    </row>
    <row r="87" customFormat="false" ht="15" hidden="false" customHeight="false" outlineLevel="0" collapsed="false">
      <c r="A87" s="9" t="n">
        <v>223</v>
      </c>
      <c r="B87" s="9" t="s">
        <v>441</v>
      </c>
      <c r="C87" s="9" t="s">
        <v>380</v>
      </c>
      <c r="D87" s="9" t="s">
        <v>442</v>
      </c>
      <c r="E87" s="9" t="s">
        <v>16</v>
      </c>
      <c r="F87" s="9" t="s">
        <v>217</v>
      </c>
      <c r="G87" s="9" t="s">
        <v>329</v>
      </c>
    </row>
    <row r="88" customFormat="false" ht="15" hidden="false" customHeight="false" outlineLevel="0" collapsed="false">
      <c r="A88" s="9" t="n">
        <v>224</v>
      </c>
      <c r="B88" s="9" t="s">
        <v>443</v>
      </c>
      <c r="C88" s="9" t="s">
        <v>380</v>
      </c>
      <c r="D88" s="9" t="s">
        <v>444</v>
      </c>
      <c r="E88" s="9" t="s">
        <v>16</v>
      </c>
      <c r="F88" s="9" t="s">
        <v>196</v>
      </c>
      <c r="G88" s="9" t="s">
        <v>413</v>
      </c>
    </row>
    <row r="89" customFormat="false" ht="23.85" hidden="false" customHeight="false" outlineLevel="0" collapsed="false">
      <c r="A89" s="9" t="n">
        <v>225</v>
      </c>
      <c r="B89" s="9" t="s">
        <v>445</v>
      </c>
      <c r="C89" s="9" t="s">
        <v>380</v>
      </c>
      <c r="D89" s="9" t="s">
        <v>446</v>
      </c>
      <c r="E89" s="9" t="s">
        <v>18</v>
      </c>
      <c r="F89" s="9" t="s">
        <v>224</v>
      </c>
      <c r="G89" s="9" t="s">
        <v>285</v>
      </c>
    </row>
    <row r="90" customFormat="false" ht="23.85" hidden="false" customHeight="false" outlineLevel="0" collapsed="false">
      <c r="A90" s="9" t="n">
        <v>226</v>
      </c>
      <c r="B90" s="9" t="s">
        <v>447</v>
      </c>
      <c r="C90" s="9" t="s">
        <v>380</v>
      </c>
      <c r="D90" s="9" t="s">
        <v>448</v>
      </c>
      <c r="E90" s="9" t="s">
        <v>18</v>
      </c>
      <c r="F90" s="9" t="s">
        <v>72</v>
      </c>
      <c r="G90" s="9" t="s">
        <v>266</v>
      </c>
    </row>
    <row r="91" customFormat="false" ht="23.85" hidden="false" customHeight="false" outlineLevel="0" collapsed="false">
      <c r="A91" s="9" t="n">
        <v>227</v>
      </c>
      <c r="B91" s="9" t="s">
        <v>449</v>
      </c>
      <c r="C91" s="9" t="s">
        <v>380</v>
      </c>
      <c r="D91" s="9" t="s">
        <v>450</v>
      </c>
      <c r="E91" s="9" t="s">
        <v>18</v>
      </c>
      <c r="F91" s="9" t="s">
        <v>258</v>
      </c>
      <c r="G91" s="9" t="s">
        <v>252</v>
      </c>
    </row>
    <row r="92" customFormat="false" ht="15" hidden="false" customHeight="false" outlineLevel="0" collapsed="false">
      <c r="A92" s="9" t="n">
        <v>228</v>
      </c>
      <c r="B92" s="9" t="s">
        <v>451</v>
      </c>
      <c r="C92" s="9" t="s">
        <v>380</v>
      </c>
      <c r="D92" s="9" t="s">
        <v>452</v>
      </c>
      <c r="E92" s="9" t="s">
        <v>16</v>
      </c>
      <c r="F92" s="9" t="s">
        <v>56</v>
      </c>
      <c r="G92" s="9" t="s">
        <v>384</v>
      </c>
    </row>
    <row r="93" customFormat="false" ht="15" hidden="false" customHeight="false" outlineLevel="0" collapsed="false">
      <c r="A93" s="9" t="n">
        <v>229</v>
      </c>
      <c r="B93" s="9" t="s">
        <v>453</v>
      </c>
      <c r="C93" s="9" t="s">
        <v>380</v>
      </c>
      <c r="D93" s="9" t="s">
        <v>454</v>
      </c>
      <c r="E93" s="9" t="s">
        <v>18</v>
      </c>
      <c r="F93" s="9" t="s">
        <v>104</v>
      </c>
      <c r="G93" s="9" t="s">
        <v>255</v>
      </c>
    </row>
    <row r="94" customFormat="false" ht="23.85" hidden="false" customHeight="false" outlineLevel="0" collapsed="false">
      <c r="A94" s="9" t="n">
        <v>230</v>
      </c>
      <c r="B94" s="9" t="s">
        <v>455</v>
      </c>
      <c r="C94" s="9" t="s">
        <v>380</v>
      </c>
      <c r="D94" s="9" t="s">
        <v>456</v>
      </c>
      <c r="E94" s="9" t="s">
        <v>18</v>
      </c>
      <c r="F94" s="9" t="s">
        <v>64</v>
      </c>
      <c r="G94" s="9" t="s">
        <v>292</v>
      </c>
    </row>
    <row r="95" customFormat="false" ht="23.85" hidden="false" customHeight="false" outlineLevel="0" collapsed="false">
      <c r="A95" s="9" t="n">
        <v>231</v>
      </c>
      <c r="B95" s="9" t="s">
        <v>457</v>
      </c>
      <c r="C95" s="9" t="s">
        <v>380</v>
      </c>
      <c r="D95" s="9" t="s">
        <v>458</v>
      </c>
      <c r="E95" s="9" t="s">
        <v>18</v>
      </c>
      <c r="F95" s="9" t="s">
        <v>297</v>
      </c>
      <c r="G95" s="9" t="s">
        <v>252</v>
      </c>
    </row>
    <row r="96" customFormat="false" ht="23.85" hidden="false" customHeight="false" outlineLevel="0" collapsed="false">
      <c r="A96" s="9" t="n">
        <v>232</v>
      </c>
      <c r="B96" s="9" t="s">
        <v>459</v>
      </c>
      <c r="C96" s="9" t="s">
        <v>380</v>
      </c>
      <c r="D96" s="9" t="s">
        <v>460</v>
      </c>
      <c r="E96" s="9" t="s">
        <v>18</v>
      </c>
      <c r="F96" s="9" t="s">
        <v>56</v>
      </c>
      <c r="G96" s="9" t="s">
        <v>384</v>
      </c>
    </row>
    <row r="97" customFormat="false" ht="15" hidden="false" customHeight="false" outlineLevel="0" collapsed="false">
      <c r="A97" s="9" t="n">
        <v>300</v>
      </c>
      <c r="B97" s="9" t="s">
        <v>461</v>
      </c>
      <c r="C97" s="9" t="s">
        <v>462</v>
      </c>
      <c r="D97" s="9" t="s">
        <v>463</v>
      </c>
      <c r="E97" s="9" t="s">
        <v>387</v>
      </c>
      <c r="F97" s="9" t="s">
        <v>464</v>
      </c>
      <c r="G97" s="9" t="s">
        <v>393</v>
      </c>
    </row>
    <row r="98" customFormat="false" ht="15" hidden="false" customHeight="false" outlineLevel="0" collapsed="false">
      <c r="A98" s="9" t="n">
        <v>301</v>
      </c>
      <c r="B98" s="9" t="s">
        <v>465</v>
      </c>
      <c r="C98" s="9" t="s">
        <v>462</v>
      </c>
      <c r="D98" s="9" t="s">
        <v>466</v>
      </c>
      <c r="E98" s="9" t="s">
        <v>387</v>
      </c>
      <c r="F98" s="9" t="s">
        <v>464</v>
      </c>
      <c r="G98" s="9" t="s">
        <v>393</v>
      </c>
    </row>
    <row r="99" customFormat="false" ht="15" hidden="false" customHeight="false" outlineLevel="0" collapsed="false">
      <c r="A99" s="9" t="n">
        <v>302</v>
      </c>
      <c r="B99" s="9" t="s">
        <v>467</v>
      </c>
      <c r="C99" s="9" t="s">
        <v>462</v>
      </c>
      <c r="D99" s="9" t="s">
        <v>468</v>
      </c>
      <c r="E99" s="9" t="s">
        <v>7</v>
      </c>
      <c r="F99" s="9" t="s">
        <v>302</v>
      </c>
      <c r="G99" s="9" t="s">
        <v>252</v>
      </c>
    </row>
    <row r="100" customFormat="false" ht="15" hidden="false" customHeight="false" outlineLevel="0" collapsed="false">
      <c r="A100" s="9" t="n">
        <v>303</v>
      </c>
      <c r="B100" s="9" t="s">
        <v>469</v>
      </c>
      <c r="C100" s="9" t="s">
        <v>462</v>
      </c>
      <c r="D100" s="9" t="s">
        <v>118</v>
      </c>
      <c r="E100" s="9" t="s">
        <v>7</v>
      </c>
      <c r="F100" s="9" t="s">
        <v>119</v>
      </c>
      <c r="G100" s="9" t="s">
        <v>470</v>
      </c>
    </row>
    <row r="101" customFormat="false" ht="15" hidden="false" customHeight="false" outlineLevel="0" collapsed="false">
      <c r="A101" s="9" t="n">
        <v>304</v>
      </c>
      <c r="B101" s="9" t="s">
        <v>471</v>
      </c>
      <c r="C101" s="9" t="s">
        <v>462</v>
      </c>
      <c r="D101" s="9" t="s">
        <v>472</v>
      </c>
      <c r="E101" s="9" t="s">
        <v>260</v>
      </c>
      <c r="F101" s="9" t="s">
        <v>302</v>
      </c>
      <c r="G101" s="9" t="s">
        <v>252</v>
      </c>
    </row>
    <row r="102" customFormat="false" ht="15" hidden="false" customHeight="false" outlineLevel="0" collapsed="false">
      <c r="A102" s="9" t="n">
        <v>305</v>
      </c>
      <c r="B102" s="9" t="s">
        <v>473</v>
      </c>
      <c r="C102" s="9" t="s">
        <v>462</v>
      </c>
      <c r="D102" s="9" t="s">
        <v>474</v>
      </c>
      <c r="E102" s="9" t="s">
        <v>7</v>
      </c>
      <c r="F102" s="9" t="s">
        <v>302</v>
      </c>
      <c r="G102" s="9" t="s">
        <v>252</v>
      </c>
    </row>
    <row r="103" customFormat="false" ht="15" hidden="false" customHeight="false" outlineLevel="0" collapsed="false">
      <c r="A103" s="9" t="n">
        <v>306</v>
      </c>
      <c r="B103" s="9" t="s">
        <v>475</v>
      </c>
      <c r="C103" s="9" t="s">
        <v>462</v>
      </c>
      <c r="D103" s="9" t="s">
        <v>476</v>
      </c>
      <c r="E103" s="9" t="s">
        <v>9</v>
      </c>
      <c r="F103" s="9" t="s">
        <v>119</v>
      </c>
      <c r="G103" s="9" t="s">
        <v>470</v>
      </c>
    </row>
    <row r="104" customFormat="false" ht="23.85" hidden="false" customHeight="false" outlineLevel="0" collapsed="false">
      <c r="A104" s="9" t="n">
        <v>307</v>
      </c>
      <c r="B104" s="9" t="s">
        <v>477</v>
      </c>
      <c r="C104" s="9" t="s">
        <v>462</v>
      </c>
      <c r="D104" s="9" t="s">
        <v>126</v>
      </c>
      <c r="E104" s="9" t="s">
        <v>260</v>
      </c>
      <c r="F104" s="9" t="s">
        <v>127</v>
      </c>
      <c r="G104" s="9" t="s">
        <v>478</v>
      </c>
    </row>
    <row r="105" customFormat="false" ht="23.85" hidden="false" customHeight="false" outlineLevel="0" collapsed="false">
      <c r="A105" s="9" t="n">
        <v>308</v>
      </c>
      <c r="B105" s="9" t="s">
        <v>479</v>
      </c>
      <c r="C105" s="9" t="s">
        <v>462</v>
      </c>
      <c r="D105" s="9" t="s">
        <v>134</v>
      </c>
      <c r="E105" s="9" t="s">
        <v>7</v>
      </c>
      <c r="F105" s="9" t="s">
        <v>135</v>
      </c>
      <c r="G105" s="9" t="s">
        <v>480</v>
      </c>
    </row>
    <row r="106" customFormat="false" ht="15" hidden="false" customHeight="false" outlineLevel="0" collapsed="false">
      <c r="A106" s="9" t="n">
        <v>309</v>
      </c>
      <c r="B106" s="9" t="s">
        <v>481</v>
      </c>
      <c r="C106" s="9" t="s">
        <v>462</v>
      </c>
      <c r="D106" s="9" t="s">
        <v>482</v>
      </c>
      <c r="E106" s="9" t="s">
        <v>12</v>
      </c>
      <c r="F106" s="9" t="s">
        <v>302</v>
      </c>
      <c r="G106" s="9" t="s">
        <v>252</v>
      </c>
    </row>
    <row r="107" customFormat="false" ht="15" hidden="false" customHeight="false" outlineLevel="0" collapsed="false">
      <c r="A107" s="9" t="n">
        <v>310</v>
      </c>
      <c r="B107" s="9" t="s">
        <v>483</v>
      </c>
      <c r="C107" s="9" t="s">
        <v>462</v>
      </c>
      <c r="D107" s="9" t="s">
        <v>484</v>
      </c>
      <c r="E107" s="9" t="s">
        <v>10</v>
      </c>
      <c r="F107" s="9" t="s">
        <v>302</v>
      </c>
      <c r="G107" s="9" t="s">
        <v>252</v>
      </c>
    </row>
    <row r="108" customFormat="false" ht="15" hidden="false" customHeight="false" outlineLevel="0" collapsed="false">
      <c r="A108" s="9" t="n">
        <v>311</v>
      </c>
      <c r="B108" s="9" t="s">
        <v>485</v>
      </c>
      <c r="C108" s="9" t="s">
        <v>462</v>
      </c>
      <c r="D108" s="9" t="s">
        <v>486</v>
      </c>
      <c r="E108" s="9" t="s">
        <v>9</v>
      </c>
      <c r="F108" s="9" t="s">
        <v>302</v>
      </c>
      <c r="G108" s="9" t="s">
        <v>252</v>
      </c>
    </row>
    <row r="109" customFormat="false" ht="15" hidden="false" customHeight="false" outlineLevel="0" collapsed="false">
      <c r="A109" s="9" t="n">
        <v>312</v>
      </c>
      <c r="B109" s="9" t="s">
        <v>487</v>
      </c>
      <c r="C109" s="9" t="s">
        <v>462</v>
      </c>
      <c r="D109" s="9" t="s">
        <v>488</v>
      </c>
      <c r="E109" s="9" t="s">
        <v>10</v>
      </c>
      <c r="F109" s="9" t="s">
        <v>302</v>
      </c>
      <c r="G109" s="9" t="s">
        <v>252</v>
      </c>
    </row>
    <row r="110" customFormat="false" ht="15" hidden="false" customHeight="false" outlineLevel="0" collapsed="false">
      <c r="A110" s="9" t="n">
        <v>313</v>
      </c>
      <c r="B110" s="9" t="s">
        <v>489</v>
      </c>
      <c r="C110" s="9" t="s">
        <v>462</v>
      </c>
      <c r="D110" s="9" t="s">
        <v>490</v>
      </c>
      <c r="E110" s="9" t="s">
        <v>12</v>
      </c>
      <c r="F110" s="9" t="s">
        <v>302</v>
      </c>
      <c r="G110" s="9" t="s">
        <v>252</v>
      </c>
    </row>
    <row r="111" customFormat="false" ht="23.85" hidden="false" customHeight="false" outlineLevel="0" collapsed="false">
      <c r="A111" s="9" t="n">
        <v>314</v>
      </c>
      <c r="B111" s="9" t="s">
        <v>491</v>
      </c>
      <c r="C111" s="9" t="s">
        <v>462</v>
      </c>
      <c r="D111" s="9" t="s">
        <v>492</v>
      </c>
      <c r="E111" s="9" t="s">
        <v>14</v>
      </c>
      <c r="F111" s="9" t="s">
        <v>188</v>
      </c>
      <c r="G111" s="9" t="s">
        <v>493</v>
      </c>
    </row>
    <row r="112" customFormat="false" ht="15" hidden="false" customHeight="false" outlineLevel="0" collapsed="false">
      <c r="A112" s="9" t="n">
        <v>315</v>
      </c>
      <c r="B112" s="9" t="s">
        <v>494</v>
      </c>
      <c r="C112" s="9" t="s">
        <v>462</v>
      </c>
      <c r="D112" s="9" t="s">
        <v>495</v>
      </c>
      <c r="E112" s="9" t="s">
        <v>16</v>
      </c>
      <c r="F112" s="9" t="s">
        <v>302</v>
      </c>
      <c r="G112" s="9" t="s">
        <v>252</v>
      </c>
    </row>
    <row r="113" customFormat="false" ht="23.85" hidden="false" customHeight="false" outlineLevel="0" collapsed="false">
      <c r="A113" s="9" t="n">
        <v>316</v>
      </c>
      <c r="B113" s="9" t="s">
        <v>496</v>
      </c>
      <c r="C113" s="9" t="s">
        <v>462</v>
      </c>
      <c r="D113" s="9" t="s">
        <v>497</v>
      </c>
      <c r="E113" s="9" t="s">
        <v>16</v>
      </c>
      <c r="F113" s="9" t="s">
        <v>188</v>
      </c>
      <c r="G113" s="9" t="s">
        <v>493</v>
      </c>
    </row>
    <row r="114" customFormat="false" ht="23.85" hidden="false" customHeight="false" outlineLevel="0" collapsed="false">
      <c r="A114" s="9" t="n">
        <v>317</v>
      </c>
      <c r="B114" s="9" t="s">
        <v>498</v>
      </c>
      <c r="C114" s="9" t="s">
        <v>462</v>
      </c>
      <c r="D114" s="9" t="s">
        <v>499</v>
      </c>
      <c r="E114" s="9" t="s">
        <v>18</v>
      </c>
      <c r="F114" s="9" t="s">
        <v>188</v>
      </c>
      <c r="G114" s="9" t="s">
        <v>493</v>
      </c>
    </row>
    <row r="115" customFormat="false" ht="23.85" hidden="false" customHeight="false" outlineLevel="0" collapsed="false">
      <c r="A115" s="9" t="n">
        <v>318</v>
      </c>
      <c r="B115" s="9" t="s">
        <v>500</v>
      </c>
      <c r="C115" s="9" t="s">
        <v>462</v>
      </c>
      <c r="D115" s="9" t="s">
        <v>501</v>
      </c>
      <c r="E115" s="9" t="s">
        <v>14</v>
      </c>
      <c r="F115" s="9" t="s">
        <v>302</v>
      </c>
      <c r="G115" s="9" t="s">
        <v>252</v>
      </c>
    </row>
    <row r="116" customFormat="false" ht="15" hidden="false" customHeight="false" outlineLevel="0" collapsed="false">
      <c r="A116" s="9" t="n">
        <v>319</v>
      </c>
      <c r="B116" s="9" t="s">
        <v>502</v>
      </c>
      <c r="C116" s="9" t="s">
        <v>462</v>
      </c>
      <c r="D116" s="9" t="s">
        <v>503</v>
      </c>
      <c r="E116" s="9" t="s">
        <v>14</v>
      </c>
      <c r="F116" s="9" t="s">
        <v>302</v>
      </c>
      <c r="G116" s="9" t="s">
        <v>252</v>
      </c>
    </row>
    <row r="117" customFormat="false" ht="23.85" hidden="false" customHeight="false" outlineLevel="0" collapsed="false">
      <c r="A117" s="9" t="n">
        <v>320</v>
      </c>
      <c r="B117" s="9" t="s">
        <v>504</v>
      </c>
      <c r="C117" s="9" t="s">
        <v>462</v>
      </c>
      <c r="D117" s="9" t="s">
        <v>505</v>
      </c>
      <c r="E117" s="9" t="s">
        <v>506</v>
      </c>
      <c r="F117" s="9" t="s">
        <v>302</v>
      </c>
      <c r="G117" s="9" t="s">
        <v>252</v>
      </c>
    </row>
    <row r="118" customFormat="false" ht="23.85" hidden="false" customHeight="false" outlineLevel="0" collapsed="false">
      <c r="A118" s="9" t="n">
        <v>321</v>
      </c>
      <c r="B118" s="9" t="s">
        <v>507</v>
      </c>
      <c r="C118" s="9" t="s">
        <v>462</v>
      </c>
      <c r="D118" s="9" t="s">
        <v>508</v>
      </c>
      <c r="E118" s="9" t="s">
        <v>16</v>
      </c>
      <c r="F118" s="9" t="s">
        <v>127</v>
      </c>
      <c r="G118" s="9" t="s">
        <v>478</v>
      </c>
    </row>
    <row r="119" customFormat="false" ht="23.85" hidden="false" customHeight="false" outlineLevel="0" collapsed="false">
      <c r="A119" s="9" t="n">
        <v>322</v>
      </c>
      <c r="B119" s="9" t="s">
        <v>509</v>
      </c>
      <c r="C119" s="9" t="s">
        <v>462</v>
      </c>
      <c r="D119" s="9" t="s">
        <v>510</v>
      </c>
      <c r="E119" s="9" t="s">
        <v>18</v>
      </c>
      <c r="F119" s="9" t="s">
        <v>302</v>
      </c>
      <c r="G119" s="9" t="s">
        <v>252</v>
      </c>
    </row>
    <row r="120" customFormat="false" ht="15" hidden="false" customHeight="false" outlineLevel="0" collapsed="false">
      <c r="A120" s="9" t="n">
        <v>323</v>
      </c>
      <c r="B120" s="9" t="s">
        <v>511</v>
      </c>
      <c r="C120" s="9" t="s">
        <v>462</v>
      </c>
      <c r="D120" s="9" t="s">
        <v>512</v>
      </c>
      <c r="E120" s="9" t="s">
        <v>18</v>
      </c>
      <c r="F120" s="9" t="s">
        <v>104</v>
      </c>
      <c r="G120" s="9" t="s">
        <v>255</v>
      </c>
    </row>
    <row r="121" customFormat="false" ht="23.85" hidden="false" customHeight="false" outlineLevel="0" collapsed="false">
      <c r="A121" s="9" t="n">
        <v>324</v>
      </c>
      <c r="B121" s="9" t="s">
        <v>513</v>
      </c>
      <c r="C121" s="9" t="s">
        <v>462</v>
      </c>
      <c r="D121" s="9" t="s">
        <v>514</v>
      </c>
      <c r="E121" s="9" t="s">
        <v>9</v>
      </c>
      <c r="F121" s="9" t="s">
        <v>180</v>
      </c>
      <c r="G121" s="9" t="s">
        <v>323</v>
      </c>
    </row>
    <row r="122" customFormat="false" ht="23.85" hidden="false" customHeight="false" outlineLevel="0" collapsed="false">
      <c r="A122" s="9" t="n">
        <v>600</v>
      </c>
      <c r="B122" s="9" t="s">
        <v>515</v>
      </c>
      <c r="C122" s="9" t="s">
        <v>516</v>
      </c>
      <c r="D122" s="9" t="s">
        <v>517</v>
      </c>
      <c r="E122" s="9" t="s">
        <v>260</v>
      </c>
      <c r="F122" s="9" t="s">
        <v>64</v>
      </c>
      <c r="G122" s="9" t="s">
        <v>292</v>
      </c>
    </row>
    <row r="123" customFormat="false" ht="15" hidden="false" customHeight="false" outlineLevel="0" collapsed="false">
      <c r="A123" s="9" t="n">
        <v>601</v>
      </c>
      <c r="B123" s="9" t="s">
        <v>518</v>
      </c>
      <c r="C123" s="9" t="s">
        <v>516</v>
      </c>
      <c r="D123" s="9" t="s">
        <v>519</v>
      </c>
      <c r="E123" s="9" t="s">
        <v>7</v>
      </c>
      <c r="F123" s="9" t="s">
        <v>88</v>
      </c>
      <c r="G123" s="9" t="s">
        <v>261</v>
      </c>
    </row>
    <row r="124" customFormat="false" ht="15" hidden="false" customHeight="false" outlineLevel="0" collapsed="false">
      <c r="A124" s="9" t="n">
        <v>602</v>
      </c>
      <c r="B124" s="9" t="s">
        <v>520</v>
      </c>
      <c r="C124" s="9" t="s">
        <v>516</v>
      </c>
      <c r="D124" s="9" t="s">
        <v>521</v>
      </c>
      <c r="E124" s="9" t="s">
        <v>403</v>
      </c>
      <c r="F124" s="9" t="s">
        <v>258</v>
      </c>
      <c r="G124" s="9" t="s">
        <v>252</v>
      </c>
    </row>
    <row r="125" customFormat="false" ht="15" hidden="false" customHeight="false" outlineLevel="0" collapsed="false">
      <c r="A125" s="9" t="n">
        <v>603</v>
      </c>
      <c r="B125" s="9" t="s">
        <v>522</v>
      </c>
      <c r="C125" s="9" t="s">
        <v>516</v>
      </c>
      <c r="D125" s="9" t="s">
        <v>523</v>
      </c>
      <c r="E125" s="9" t="s">
        <v>9</v>
      </c>
      <c r="F125" s="9" t="s">
        <v>56</v>
      </c>
      <c r="G125" s="9" t="s">
        <v>384</v>
      </c>
    </row>
    <row r="126" customFormat="false" ht="15" hidden="false" customHeight="false" outlineLevel="0" collapsed="false">
      <c r="A126" s="9" t="n">
        <v>604</v>
      </c>
      <c r="B126" s="9" t="s">
        <v>524</v>
      </c>
      <c r="C126" s="9" t="s">
        <v>516</v>
      </c>
      <c r="D126" s="9" t="s">
        <v>525</v>
      </c>
      <c r="E126" s="9" t="s">
        <v>9</v>
      </c>
      <c r="F126" s="9" t="s">
        <v>80</v>
      </c>
      <c r="G126" s="9" t="s">
        <v>339</v>
      </c>
    </row>
    <row r="127" customFormat="false" ht="15" hidden="false" customHeight="false" outlineLevel="0" collapsed="false">
      <c r="A127" s="9" t="n">
        <v>605</v>
      </c>
      <c r="B127" s="9" t="s">
        <v>526</v>
      </c>
      <c r="C127" s="9" t="s">
        <v>516</v>
      </c>
      <c r="D127" s="9" t="s">
        <v>71</v>
      </c>
      <c r="E127" s="9" t="s">
        <v>260</v>
      </c>
      <c r="F127" s="9" t="s">
        <v>72</v>
      </c>
      <c r="G127" s="9" t="s">
        <v>266</v>
      </c>
    </row>
    <row r="128" customFormat="false" ht="15" hidden="false" customHeight="false" outlineLevel="0" collapsed="false">
      <c r="A128" s="9" t="n">
        <v>606</v>
      </c>
      <c r="B128" s="9" t="s">
        <v>527</v>
      </c>
      <c r="C128" s="9" t="s">
        <v>516</v>
      </c>
      <c r="D128" s="9" t="s">
        <v>528</v>
      </c>
      <c r="E128" s="9" t="s">
        <v>9</v>
      </c>
      <c r="F128" s="9" t="s">
        <v>135</v>
      </c>
      <c r="G128" s="9" t="s">
        <v>480</v>
      </c>
    </row>
    <row r="129" customFormat="false" ht="15" hidden="false" customHeight="false" outlineLevel="0" collapsed="false">
      <c r="A129" s="9" t="n">
        <v>607</v>
      </c>
      <c r="B129" s="9" t="s">
        <v>529</v>
      </c>
      <c r="C129" s="9" t="s">
        <v>516</v>
      </c>
      <c r="D129" s="9" t="s">
        <v>187</v>
      </c>
      <c r="E129" s="9" t="s">
        <v>9</v>
      </c>
      <c r="F129" s="9" t="s">
        <v>188</v>
      </c>
      <c r="G129" s="9" t="s">
        <v>493</v>
      </c>
    </row>
    <row r="130" customFormat="false" ht="15" hidden="false" customHeight="false" outlineLevel="0" collapsed="false">
      <c r="A130" s="9" t="n">
        <v>608</v>
      </c>
      <c r="B130" s="9" t="s">
        <v>530</v>
      </c>
      <c r="C130" s="9" t="s">
        <v>516</v>
      </c>
      <c r="D130" s="9" t="s">
        <v>531</v>
      </c>
      <c r="E130" s="9" t="s">
        <v>9</v>
      </c>
      <c r="F130" s="9" t="s">
        <v>165</v>
      </c>
      <c r="G130" s="9" t="s">
        <v>341</v>
      </c>
    </row>
    <row r="131" customFormat="false" ht="15" hidden="false" customHeight="false" outlineLevel="0" collapsed="false">
      <c r="A131" s="9" t="n">
        <v>609</v>
      </c>
      <c r="B131" s="9" t="s">
        <v>532</v>
      </c>
      <c r="C131" s="9" t="s">
        <v>516</v>
      </c>
      <c r="D131" s="9" t="s">
        <v>533</v>
      </c>
      <c r="E131" s="9" t="s">
        <v>9</v>
      </c>
      <c r="F131" s="9" t="s">
        <v>165</v>
      </c>
      <c r="G131" s="9" t="s">
        <v>341</v>
      </c>
    </row>
    <row r="132" customFormat="false" ht="15" hidden="false" customHeight="false" outlineLevel="0" collapsed="false">
      <c r="A132" s="9" t="n">
        <v>610</v>
      </c>
      <c r="B132" s="9" t="s">
        <v>534</v>
      </c>
      <c r="C132" s="9" t="s">
        <v>516</v>
      </c>
      <c r="D132" s="9" t="s">
        <v>111</v>
      </c>
      <c r="E132" s="9" t="s">
        <v>535</v>
      </c>
      <c r="F132" s="9" t="s">
        <v>112</v>
      </c>
      <c r="G132" s="9" t="s">
        <v>400</v>
      </c>
    </row>
    <row r="133" customFormat="false" ht="15" hidden="false" customHeight="false" outlineLevel="0" collapsed="false">
      <c r="A133" s="9" t="n">
        <v>611</v>
      </c>
      <c r="B133" s="9" t="s">
        <v>536</v>
      </c>
      <c r="C133" s="9" t="s">
        <v>516</v>
      </c>
      <c r="D133" s="9" t="s">
        <v>537</v>
      </c>
      <c r="E133" s="9" t="s">
        <v>7</v>
      </c>
      <c r="F133" s="9" t="s">
        <v>56</v>
      </c>
      <c r="G133" s="9" t="s">
        <v>384</v>
      </c>
    </row>
    <row r="134" customFormat="false" ht="15" hidden="false" customHeight="false" outlineLevel="0" collapsed="false">
      <c r="A134" s="9" t="n">
        <v>612</v>
      </c>
      <c r="B134" s="9" t="s">
        <v>538</v>
      </c>
      <c r="C134" s="9" t="s">
        <v>516</v>
      </c>
      <c r="D134" s="9" t="s">
        <v>539</v>
      </c>
      <c r="E134" s="9" t="s">
        <v>9</v>
      </c>
      <c r="F134" s="9" t="s">
        <v>188</v>
      </c>
      <c r="G134" s="9" t="s">
        <v>493</v>
      </c>
    </row>
    <row r="135" customFormat="false" ht="15" hidden="false" customHeight="false" outlineLevel="0" collapsed="false">
      <c r="A135" s="9" t="n">
        <v>613</v>
      </c>
      <c r="B135" s="9" t="s">
        <v>540</v>
      </c>
      <c r="C135" s="9" t="s">
        <v>516</v>
      </c>
      <c r="D135" s="9" t="s">
        <v>195</v>
      </c>
      <c r="E135" s="9" t="s">
        <v>9</v>
      </c>
      <c r="F135" s="9" t="s">
        <v>196</v>
      </c>
      <c r="G135" s="9" t="s">
        <v>413</v>
      </c>
    </row>
    <row r="136" customFormat="false" ht="15" hidden="false" customHeight="false" outlineLevel="0" collapsed="false">
      <c r="A136" s="9" t="n">
        <v>614</v>
      </c>
      <c r="B136" s="9" t="s">
        <v>541</v>
      </c>
      <c r="C136" s="9" t="s">
        <v>516</v>
      </c>
      <c r="D136" s="9" t="s">
        <v>79</v>
      </c>
      <c r="E136" s="9" t="s">
        <v>260</v>
      </c>
      <c r="F136" s="9" t="s">
        <v>80</v>
      </c>
      <c r="G136" s="9" t="s">
        <v>339</v>
      </c>
    </row>
    <row r="137" customFormat="false" ht="15" hidden="false" customHeight="false" outlineLevel="0" collapsed="false">
      <c r="A137" s="9" t="n">
        <v>615</v>
      </c>
      <c r="B137" s="9" t="s">
        <v>542</v>
      </c>
      <c r="C137" s="9" t="s">
        <v>516</v>
      </c>
      <c r="D137" s="9" t="s">
        <v>543</v>
      </c>
      <c r="E137" s="9" t="s">
        <v>9</v>
      </c>
      <c r="F137" s="9" t="s">
        <v>165</v>
      </c>
      <c r="G137" s="9" t="s">
        <v>341</v>
      </c>
    </row>
    <row r="138" customFormat="false" ht="15" hidden="false" customHeight="false" outlineLevel="0" collapsed="false">
      <c r="A138" s="9" t="n">
        <v>616</v>
      </c>
      <c r="B138" s="9" t="s">
        <v>544</v>
      </c>
      <c r="C138" s="9" t="s">
        <v>516</v>
      </c>
      <c r="D138" s="9" t="s">
        <v>545</v>
      </c>
      <c r="E138" s="9" t="s">
        <v>260</v>
      </c>
      <c r="F138" s="9" t="s">
        <v>64</v>
      </c>
      <c r="G138" s="9" t="s">
        <v>292</v>
      </c>
    </row>
    <row r="139" customFormat="false" ht="23.85" hidden="false" customHeight="false" outlineLevel="0" collapsed="false">
      <c r="A139" s="9" t="n">
        <v>617</v>
      </c>
      <c r="B139" s="9" t="s">
        <v>546</v>
      </c>
      <c r="C139" s="9" t="s">
        <v>516</v>
      </c>
      <c r="D139" s="9" t="s">
        <v>547</v>
      </c>
      <c r="E139" s="9" t="s">
        <v>85</v>
      </c>
      <c r="F139" s="9" t="s">
        <v>165</v>
      </c>
      <c r="G139" s="9" t="s">
        <v>341</v>
      </c>
    </row>
    <row r="140" customFormat="false" ht="23.85" hidden="false" customHeight="false" outlineLevel="0" collapsed="false">
      <c r="A140" s="9" t="n">
        <v>618</v>
      </c>
      <c r="B140" s="9" t="s">
        <v>548</v>
      </c>
      <c r="C140" s="9" t="s">
        <v>516</v>
      </c>
      <c r="D140" s="9" t="s">
        <v>549</v>
      </c>
      <c r="E140" s="9" t="s">
        <v>9</v>
      </c>
      <c r="F140" s="9" t="s">
        <v>135</v>
      </c>
      <c r="G140" s="9" t="s">
        <v>480</v>
      </c>
    </row>
    <row r="141" customFormat="false" ht="23.85" hidden="false" customHeight="false" outlineLevel="0" collapsed="false">
      <c r="A141" s="9" t="n">
        <v>619</v>
      </c>
      <c r="B141" s="9" t="s">
        <v>550</v>
      </c>
      <c r="C141" s="9" t="s">
        <v>516</v>
      </c>
      <c r="D141" s="9" t="s">
        <v>551</v>
      </c>
      <c r="E141" s="9" t="s">
        <v>552</v>
      </c>
      <c r="F141" s="9" t="s">
        <v>64</v>
      </c>
      <c r="G141" s="9" t="s">
        <v>292</v>
      </c>
    </row>
    <row r="142" customFormat="false" ht="23.85" hidden="false" customHeight="false" outlineLevel="0" collapsed="false">
      <c r="A142" s="9" t="n">
        <v>620</v>
      </c>
      <c r="B142" s="9" t="s">
        <v>553</v>
      </c>
      <c r="C142" s="9" t="s">
        <v>516</v>
      </c>
      <c r="D142" s="9" t="s">
        <v>554</v>
      </c>
      <c r="E142" s="9" t="s">
        <v>555</v>
      </c>
      <c r="F142" s="9" t="s">
        <v>258</v>
      </c>
      <c r="G142" s="9" t="s">
        <v>252</v>
      </c>
    </row>
    <row r="143" customFormat="false" ht="23.85" hidden="false" customHeight="false" outlineLevel="0" collapsed="false">
      <c r="A143" s="9" t="n">
        <v>621</v>
      </c>
      <c r="B143" s="9" t="s">
        <v>556</v>
      </c>
      <c r="C143" s="9" t="s">
        <v>516</v>
      </c>
      <c r="D143" s="9" t="s">
        <v>557</v>
      </c>
      <c r="E143" s="9" t="s">
        <v>9</v>
      </c>
      <c r="F143" s="9" t="s">
        <v>188</v>
      </c>
      <c r="G143" s="9" t="s">
        <v>493</v>
      </c>
    </row>
    <row r="144" customFormat="false" ht="15" hidden="false" customHeight="false" outlineLevel="0" collapsed="false">
      <c r="A144" s="9" t="n">
        <v>622</v>
      </c>
      <c r="B144" s="9" t="s">
        <v>558</v>
      </c>
      <c r="C144" s="9" t="s">
        <v>516</v>
      </c>
      <c r="D144" s="9" t="s">
        <v>202</v>
      </c>
      <c r="E144" s="9" t="s">
        <v>85</v>
      </c>
      <c r="F144" s="9" t="s">
        <v>203</v>
      </c>
      <c r="G144" s="9" t="s">
        <v>559</v>
      </c>
    </row>
    <row r="145" customFormat="false" ht="15" hidden="false" customHeight="false" outlineLevel="0" collapsed="false">
      <c r="A145" s="9" t="n">
        <v>623</v>
      </c>
      <c r="B145" s="9" t="s">
        <v>560</v>
      </c>
      <c r="C145" s="9" t="s">
        <v>516</v>
      </c>
      <c r="D145" s="9" t="s">
        <v>561</v>
      </c>
      <c r="E145" s="9" t="s">
        <v>9</v>
      </c>
      <c r="F145" s="9" t="s">
        <v>196</v>
      </c>
      <c r="G145" s="9" t="s">
        <v>413</v>
      </c>
    </row>
    <row r="146" customFormat="false" ht="15" hidden="false" customHeight="false" outlineLevel="0" collapsed="false">
      <c r="A146" s="9" t="n">
        <v>700</v>
      </c>
      <c r="B146" s="9" t="s">
        <v>562</v>
      </c>
      <c r="C146" s="9" t="s">
        <v>563</v>
      </c>
      <c r="D146" s="9" t="s">
        <v>230</v>
      </c>
      <c r="E146" s="9" t="s">
        <v>12</v>
      </c>
      <c r="F146" s="9" t="s">
        <v>231</v>
      </c>
      <c r="G146" s="9" t="s">
        <v>564</v>
      </c>
    </row>
    <row r="147" customFormat="false" ht="15" hidden="false" customHeight="false" outlineLevel="0" collapsed="false">
      <c r="A147" s="9" t="n">
        <v>701</v>
      </c>
      <c r="B147" s="9" t="s">
        <v>565</v>
      </c>
      <c r="C147" s="9" t="s">
        <v>563</v>
      </c>
      <c r="D147" s="9" t="s">
        <v>566</v>
      </c>
      <c r="E147" s="9" t="s">
        <v>12</v>
      </c>
      <c r="F147" s="9" t="s">
        <v>64</v>
      </c>
      <c r="G147" s="9" t="s">
        <v>292</v>
      </c>
    </row>
    <row r="148" customFormat="false" ht="15" hidden="false" customHeight="false" outlineLevel="0" collapsed="false">
      <c r="A148" s="9" t="n">
        <v>702</v>
      </c>
      <c r="B148" s="9" t="s">
        <v>567</v>
      </c>
      <c r="C148" s="9" t="s">
        <v>563</v>
      </c>
      <c r="D148" s="9" t="s">
        <v>568</v>
      </c>
      <c r="E148" s="9" t="s">
        <v>14</v>
      </c>
      <c r="F148" s="9" t="s">
        <v>135</v>
      </c>
      <c r="G148" s="9" t="s">
        <v>480</v>
      </c>
    </row>
    <row r="149" customFormat="false" ht="15" hidden="false" customHeight="false" outlineLevel="0" collapsed="false">
      <c r="A149" s="9" t="n">
        <v>703</v>
      </c>
      <c r="B149" s="9" t="s">
        <v>569</v>
      </c>
      <c r="C149" s="9" t="s">
        <v>563</v>
      </c>
      <c r="D149" s="9" t="s">
        <v>570</v>
      </c>
      <c r="E149" s="9" t="s">
        <v>12</v>
      </c>
      <c r="F149" s="9" t="s">
        <v>210</v>
      </c>
      <c r="G149" s="9" t="s">
        <v>277</v>
      </c>
    </row>
    <row r="150" customFormat="false" ht="15" hidden="false" customHeight="false" outlineLevel="0" collapsed="false">
      <c r="A150" s="9" t="n">
        <v>704</v>
      </c>
      <c r="B150" s="9" t="s">
        <v>571</v>
      </c>
      <c r="C150" s="9" t="s">
        <v>563</v>
      </c>
      <c r="D150" s="9" t="s">
        <v>572</v>
      </c>
      <c r="E150" s="9" t="s">
        <v>14</v>
      </c>
      <c r="F150" s="9" t="s">
        <v>104</v>
      </c>
      <c r="G150" s="9" t="s">
        <v>255</v>
      </c>
    </row>
    <row r="151" customFormat="false" ht="23.85" hidden="false" customHeight="false" outlineLevel="0" collapsed="false">
      <c r="A151" s="9" t="n">
        <v>705</v>
      </c>
      <c r="B151" s="9" t="s">
        <v>573</v>
      </c>
      <c r="C151" s="9" t="s">
        <v>563</v>
      </c>
      <c r="D151" s="9" t="s">
        <v>574</v>
      </c>
      <c r="E151" s="9" t="s">
        <v>14</v>
      </c>
      <c r="F151" s="9" t="s">
        <v>151</v>
      </c>
      <c r="G151" s="9" t="s">
        <v>271</v>
      </c>
    </row>
    <row r="152" customFormat="false" ht="15" hidden="false" customHeight="false" outlineLevel="0" collapsed="false">
      <c r="A152" s="9" t="n">
        <v>706</v>
      </c>
      <c r="B152" s="9" t="s">
        <v>575</v>
      </c>
      <c r="C152" s="9" t="s">
        <v>563</v>
      </c>
      <c r="D152" s="9" t="s">
        <v>576</v>
      </c>
      <c r="E152" s="9" t="s">
        <v>14</v>
      </c>
      <c r="F152" s="9" t="s">
        <v>157</v>
      </c>
      <c r="G152" s="9" t="s">
        <v>272</v>
      </c>
    </row>
    <row r="153" customFormat="false" ht="15" hidden="false" customHeight="false" outlineLevel="0" collapsed="false">
      <c r="A153" s="9" t="n">
        <v>707</v>
      </c>
      <c r="B153" s="9" t="s">
        <v>577</v>
      </c>
      <c r="C153" s="9" t="s">
        <v>563</v>
      </c>
      <c r="D153" s="9" t="s">
        <v>578</v>
      </c>
      <c r="E153" s="9" t="s">
        <v>45</v>
      </c>
      <c r="F153" s="9" t="s">
        <v>104</v>
      </c>
      <c r="G153" s="9" t="s">
        <v>255</v>
      </c>
    </row>
    <row r="154" customFormat="false" ht="15" hidden="false" customHeight="false" outlineLevel="0" collapsed="false">
      <c r="A154" s="9" t="n">
        <v>708</v>
      </c>
      <c r="B154" s="9" t="s">
        <v>579</v>
      </c>
      <c r="C154" s="9" t="s">
        <v>563</v>
      </c>
      <c r="D154" s="9" t="s">
        <v>580</v>
      </c>
      <c r="E154" s="9" t="s">
        <v>14</v>
      </c>
      <c r="F154" s="9" t="s">
        <v>297</v>
      </c>
      <c r="G154" s="9" t="s">
        <v>252</v>
      </c>
    </row>
    <row r="155" customFormat="false" ht="15" hidden="false" customHeight="false" outlineLevel="0" collapsed="false">
      <c r="A155" s="9" t="n">
        <v>709</v>
      </c>
      <c r="B155" s="9" t="s">
        <v>581</v>
      </c>
      <c r="C155" s="9" t="s">
        <v>563</v>
      </c>
      <c r="D155" s="9" t="s">
        <v>582</v>
      </c>
      <c r="E155" s="9" t="s">
        <v>14</v>
      </c>
      <c r="F155" s="9" t="s">
        <v>297</v>
      </c>
      <c r="G155" s="9" t="s">
        <v>252</v>
      </c>
    </row>
    <row r="156" customFormat="false" ht="15" hidden="false" customHeight="false" outlineLevel="0" collapsed="false">
      <c r="A156" s="9" t="n">
        <v>710</v>
      </c>
      <c r="B156" s="9" t="s">
        <v>583</v>
      </c>
      <c r="C156" s="9" t="s">
        <v>563</v>
      </c>
      <c r="D156" s="9" t="s">
        <v>584</v>
      </c>
      <c r="E156" s="9" t="s">
        <v>12</v>
      </c>
      <c r="F156" s="9" t="s">
        <v>275</v>
      </c>
      <c r="G156" s="9" t="s">
        <v>252</v>
      </c>
    </row>
    <row r="157" customFormat="false" ht="15" hidden="false" customHeight="false" outlineLevel="0" collapsed="false">
      <c r="A157" s="9" t="n">
        <v>711</v>
      </c>
      <c r="B157" s="9" t="s">
        <v>585</v>
      </c>
      <c r="C157" s="9" t="s">
        <v>563</v>
      </c>
      <c r="D157" s="9" t="s">
        <v>586</v>
      </c>
      <c r="E157" s="9" t="s">
        <v>12</v>
      </c>
      <c r="F157" s="9" t="s">
        <v>72</v>
      </c>
      <c r="G157" s="9" t="s">
        <v>266</v>
      </c>
    </row>
    <row r="158" customFormat="false" ht="15" hidden="false" customHeight="false" outlineLevel="0" collapsed="false">
      <c r="A158" s="9" t="n">
        <v>711</v>
      </c>
      <c r="B158" s="9" t="s">
        <v>585</v>
      </c>
      <c r="C158" s="9" t="s">
        <v>563</v>
      </c>
      <c r="D158" s="9" t="s">
        <v>335</v>
      </c>
      <c r="E158" s="9" t="s">
        <v>12</v>
      </c>
      <c r="F158" s="9" t="s">
        <v>224</v>
      </c>
      <c r="G158" s="9" t="s">
        <v>285</v>
      </c>
    </row>
    <row r="159" customFormat="false" ht="15" hidden="false" customHeight="false" outlineLevel="0" collapsed="false">
      <c r="A159" s="9" t="n">
        <v>712</v>
      </c>
      <c r="B159" s="9" t="s">
        <v>587</v>
      </c>
      <c r="C159" s="9" t="s">
        <v>563</v>
      </c>
      <c r="D159" s="9" t="s">
        <v>588</v>
      </c>
      <c r="E159" s="9" t="s">
        <v>12</v>
      </c>
      <c r="F159" s="9" t="s">
        <v>302</v>
      </c>
      <c r="G159" s="9" t="s">
        <v>252</v>
      </c>
    </row>
    <row r="160" customFormat="false" ht="15" hidden="false" customHeight="false" outlineLevel="0" collapsed="false">
      <c r="A160" s="9" t="n">
        <v>713</v>
      </c>
      <c r="B160" s="9" t="s">
        <v>589</v>
      </c>
      <c r="C160" s="9" t="s">
        <v>563</v>
      </c>
      <c r="D160" s="9" t="s">
        <v>590</v>
      </c>
      <c r="E160" s="9" t="s">
        <v>14</v>
      </c>
      <c r="F160" s="9" t="s">
        <v>302</v>
      </c>
      <c r="G160" s="9" t="s">
        <v>252</v>
      </c>
    </row>
  </sheetData>
  <autoFilter ref="A1:G1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80"/>
    <col collapsed="false" customWidth="true" hidden="false" outlineLevel="0" max="6" min="6" style="0" width="46"/>
  </cols>
  <sheetData>
    <row r="1" customFormat="false" ht="23.85" hidden="false" customHeight="false" outlineLevel="0" collapsed="false">
      <c r="A1" s="8" t="s">
        <v>591</v>
      </c>
      <c r="B1" s="8" t="s">
        <v>40</v>
      </c>
      <c r="C1" s="8" t="s">
        <v>36</v>
      </c>
      <c r="D1" s="8" t="s">
        <v>592</v>
      </c>
      <c r="E1" s="8" t="s">
        <v>593</v>
      </c>
      <c r="F1" s="8" t="s">
        <v>594</v>
      </c>
    </row>
    <row r="2" customFormat="false" ht="15" hidden="false" customHeight="false" outlineLevel="0" collapsed="false">
      <c r="A2" s="9" t="s">
        <v>595</v>
      </c>
      <c r="B2" s="9" t="s">
        <v>392</v>
      </c>
      <c r="C2" s="9" t="s">
        <v>596</v>
      </c>
      <c r="D2" s="9" t="s">
        <v>391</v>
      </c>
      <c r="E2" s="9" t="s">
        <v>62</v>
      </c>
      <c r="F2" s="9" t="s">
        <v>93</v>
      </c>
    </row>
    <row r="3" customFormat="false" ht="15" hidden="false" customHeight="false" outlineLevel="0" collapsed="false">
      <c r="A3" s="9" t="s">
        <v>595</v>
      </c>
      <c r="B3" s="9" t="s">
        <v>396</v>
      </c>
      <c r="C3" s="9" t="s">
        <v>597</v>
      </c>
      <c r="D3" s="9" t="s">
        <v>391</v>
      </c>
      <c r="E3" s="9" t="s">
        <v>598</v>
      </c>
      <c r="F3" s="9" t="s">
        <v>93</v>
      </c>
    </row>
    <row r="4" customFormat="false" ht="15" hidden="false" customHeight="false" outlineLevel="0" collapsed="false">
      <c r="A4" s="9" t="s">
        <v>595</v>
      </c>
      <c r="B4" s="9" t="s">
        <v>407</v>
      </c>
      <c r="C4" s="9" t="s">
        <v>599</v>
      </c>
      <c r="D4" s="9" t="s">
        <v>406</v>
      </c>
      <c r="E4" s="9" t="s">
        <v>600</v>
      </c>
      <c r="F4" s="9" t="s">
        <v>93</v>
      </c>
    </row>
    <row r="5" customFormat="false" ht="15" hidden="false" customHeight="false" outlineLevel="0" collapsed="false">
      <c r="A5" s="9" t="s">
        <v>595</v>
      </c>
      <c r="B5" s="9" t="s">
        <v>431</v>
      </c>
      <c r="C5" s="9" t="s">
        <v>601</v>
      </c>
      <c r="D5" s="9" t="s">
        <v>602</v>
      </c>
      <c r="E5" s="9" t="s">
        <v>603</v>
      </c>
      <c r="F5" s="9" t="s">
        <v>93</v>
      </c>
    </row>
    <row r="6" customFormat="false" ht="15" hidden="false" customHeight="false" outlineLevel="0" collapsed="false">
      <c r="A6" s="9" t="s">
        <v>595</v>
      </c>
      <c r="B6" s="9" t="s">
        <v>464</v>
      </c>
      <c r="C6" s="9" t="s">
        <v>604</v>
      </c>
      <c r="D6" s="9" t="s">
        <v>387</v>
      </c>
      <c r="E6" s="9" t="s">
        <v>605</v>
      </c>
      <c r="F6" s="9" t="s">
        <v>93</v>
      </c>
    </row>
    <row r="7" customFormat="false" ht="23.85" hidden="false" customHeight="false" outlineLevel="0" collapsed="false">
      <c r="A7" s="9" t="s">
        <v>606</v>
      </c>
      <c r="B7" s="9" t="s">
        <v>251</v>
      </c>
      <c r="C7" s="9" t="s">
        <v>607</v>
      </c>
      <c r="D7" s="9" t="s">
        <v>250</v>
      </c>
      <c r="E7" s="9" t="s">
        <v>608</v>
      </c>
      <c r="F7" s="9" t="s">
        <v>609</v>
      </c>
    </row>
    <row r="8" customFormat="false" ht="35.05" hidden="false" customHeight="false" outlineLevel="0" collapsed="false">
      <c r="A8" s="9" t="s">
        <v>606</v>
      </c>
      <c r="B8" s="9" t="s">
        <v>258</v>
      </c>
      <c r="C8" s="9" t="s">
        <v>610</v>
      </c>
      <c r="D8" s="9" t="s">
        <v>611</v>
      </c>
      <c r="E8" s="9" t="s">
        <v>612</v>
      </c>
      <c r="F8" s="9" t="s">
        <v>613</v>
      </c>
    </row>
    <row r="9" customFormat="false" ht="23.85" hidden="false" customHeight="false" outlineLevel="0" collapsed="false">
      <c r="A9" s="9" t="s">
        <v>606</v>
      </c>
      <c r="B9" s="9" t="s">
        <v>275</v>
      </c>
      <c r="C9" s="9" t="s">
        <v>614</v>
      </c>
      <c r="D9" s="9" t="s">
        <v>615</v>
      </c>
      <c r="E9" s="9" t="s">
        <v>616</v>
      </c>
      <c r="F9" s="9" t="s">
        <v>617</v>
      </c>
    </row>
    <row r="10" customFormat="false" ht="68.65" hidden="false" customHeight="false" outlineLevel="0" collapsed="false">
      <c r="A10" s="9" t="s">
        <v>606</v>
      </c>
      <c r="B10" s="9" t="s">
        <v>302</v>
      </c>
      <c r="C10" s="9" t="s">
        <v>618</v>
      </c>
      <c r="D10" s="9" t="s">
        <v>619</v>
      </c>
      <c r="E10" s="9" t="s">
        <v>620</v>
      </c>
      <c r="F10" s="9" t="s">
        <v>621</v>
      </c>
    </row>
    <row r="11" customFormat="false" ht="15" hidden="false" customHeight="false" outlineLevel="0" collapsed="false">
      <c r="A11" s="9" t="s">
        <v>606</v>
      </c>
      <c r="B11" s="9" t="s">
        <v>321</v>
      </c>
      <c r="C11" s="9" t="s">
        <v>622</v>
      </c>
      <c r="D11" s="9" t="s">
        <v>45</v>
      </c>
      <c r="E11" s="9" t="s">
        <v>623</v>
      </c>
      <c r="F11" s="9" t="s">
        <v>624</v>
      </c>
    </row>
    <row r="12" customFormat="false" ht="35.05" hidden="false" customHeight="false" outlineLevel="0" collapsed="false">
      <c r="A12" s="9" t="s">
        <v>606</v>
      </c>
      <c r="B12" s="9" t="s">
        <v>297</v>
      </c>
      <c r="C12" s="9" t="s">
        <v>625</v>
      </c>
      <c r="D12" s="9" t="s">
        <v>162</v>
      </c>
      <c r="E12" s="9" t="s">
        <v>626</v>
      </c>
      <c r="F12" s="9" t="s">
        <v>627</v>
      </c>
    </row>
    <row r="13" customFormat="false" ht="23.85" hidden="false" customHeight="false" outlineLevel="0" collapsed="false">
      <c r="A13" s="9" t="s">
        <v>628</v>
      </c>
      <c r="B13" s="9" t="s">
        <v>629</v>
      </c>
      <c r="C13" s="9" t="s">
        <v>630</v>
      </c>
      <c r="D13" s="9" t="s">
        <v>93</v>
      </c>
      <c r="E13" s="9" t="s">
        <v>631</v>
      </c>
      <c r="F13" s="9" t="s">
        <v>93</v>
      </c>
    </row>
    <row r="14" customFormat="false" ht="23.85" hidden="false" customHeight="false" outlineLevel="0" collapsed="false">
      <c r="A14" s="9" t="s">
        <v>628</v>
      </c>
      <c r="B14" s="9" t="s">
        <v>632</v>
      </c>
      <c r="C14" s="9" t="s">
        <v>633</v>
      </c>
      <c r="D14" s="9" t="s">
        <v>93</v>
      </c>
      <c r="E14" s="9" t="s">
        <v>634</v>
      </c>
      <c r="F14" s="9" t="s">
        <v>93</v>
      </c>
    </row>
    <row r="15" customFormat="false" ht="23.85" hidden="false" customHeight="false" outlineLevel="0" collapsed="false">
      <c r="A15" s="9" t="s">
        <v>628</v>
      </c>
      <c r="B15" s="9" t="s">
        <v>635</v>
      </c>
      <c r="C15" s="9" t="s">
        <v>636</v>
      </c>
      <c r="D15" s="9" t="s">
        <v>93</v>
      </c>
      <c r="E15" s="9" t="s">
        <v>637</v>
      </c>
      <c r="F15" s="9" t="s">
        <v>93</v>
      </c>
    </row>
    <row r="16" customFormat="false" ht="23.85" hidden="false" customHeight="false" outlineLevel="0" collapsed="false">
      <c r="A16" s="9" t="s">
        <v>628</v>
      </c>
      <c r="B16" s="9" t="s">
        <v>638</v>
      </c>
      <c r="C16" s="9" t="s">
        <v>639</v>
      </c>
      <c r="D16" s="9" t="s">
        <v>93</v>
      </c>
      <c r="E16" s="9" t="s">
        <v>640</v>
      </c>
      <c r="F16" s="9" t="s">
        <v>93</v>
      </c>
    </row>
    <row r="17" customFormat="false" ht="23.85" hidden="false" customHeight="false" outlineLevel="0" collapsed="false">
      <c r="A17" s="9" t="s">
        <v>628</v>
      </c>
      <c r="B17" s="9" t="s">
        <v>641</v>
      </c>
      <c r="C17" s="9" t="s">
        <v>642</v>
      </c>
      <c r="D17" s="9" t="s">
        <v>93</v>
      </c>
      <c r="E17" s="9" t="s">
        <v>643</v>
      </c>
      <c r="F17" s="9" t="s">
        <v>93</v>
      </c>
    </row>
    <row r="18" customFormat="false" ht="35.05" hidden="false" customHeight="false" outlineLevel="0" collapsed="false">
      <c r="A18" s="9" t="s">
        <v>628</v>
      </c>
      <c r="B18" s="9" t="s">
        <v>644</v>
      </c>
      <c r="C18" s="9" t="s">
        <v>645</v>
      </c>
      <c r="D18" s="9" t="s">
        <v>93</v>
      </c>
      <c r="E18" s="9" t="s">
        <v>646</v>
      </c>
      <c r="F18" s="9" t="s">
        <v>93</v>
      </c>
    </row>
    <row r="19" customFormat="false" ht="23.85" hidden="false" customHeight="false" outlineLevel="0" collapsed="false">
      <c r="A19" s="9" t="s">
        <v>628</v>
      </c>
      <c r="B19" s="9" t="s">
        <v>647</v>
      </c>
      <c r="C19" s="9" t="s">
        <v>648</v>
      </c>
      <c r="D19" s="9" t="s">
        <v>93</v>
      </c>
      <c r="E19" s="9" t="s">
        <v>649</v>
      </c>
      <c r="F19" s="9" t="s">
        <v>93</v>
      </c>
    </row>
    <row r="20" customFormat="false" ht="23.85" hidden="false" customHeight="false" outlineLevel="0" collapsed="false">
      <c r="A20" s="9" t="s">
        <v>628</v>
      </c>
      <c r="B20" s="9" t="s">
        <v>650</v>
      </c>
      <c r="C20" s="9" t="s">
        <v>651</v>
      </c>
      <c r="D20" s="9" t="s">
        <v>93</v>
      </c>
      <c r="E20" s="9" t="s">
        <v>652</v>
      </c>
      <c r="F20" s="9" t="s">
        <v>93</v>
      </c>
    </row>
    <row r="21" customFormat="false" ht="23.85" hidden="false" customHeight="false" outlineLevel="0" collapsed="false">
      <c r="A21" s="9" t="s">
        <v>628</v>
      </c>
      <c r="B21" s="9" t="s">
        <v>653</v>
      </c>
      <c r="C21" s="9" t="s">
        <v>654</v>
      </c>
      <c r="D21" s="9" t="s">
        <v>93</v>
      </c>
      <c r="E21" s="9" t="s">
        <v>655</v>
      </c>
      <c r="F21" s="9" t="s">
        <v>93</v>
      </c>
    </row>
    <row r="22" customFormat="false" ht="23.85" hidden="false" customHeight="false" outlineLevel="0" collapsed="false">
      <c r="A22" s="9" t="s">
        <v>628</v>
      </c>
      <c r="B22" s="9" t="s">
        <v>656</v>
      </c>
      <c r="C22" s="9" t="s">
        <v>657</v>
      </c>
      <c r="D22" s="9" t="s">
        <v>93</v>
      </c>
      <c r="E22" s="9" t="s">
        <v>658</v>
      </c>
      <c r="F22" s="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2026-09-19T08:16:18Z</dcterms:created>
  <dc:creator>openpyxl</dc:creator>
  <dc:description/>
  <dc:language>en-US</dc:language>
  <cp:lastModifiedBy/>
  <dcterms:modified xsi:type="dcterms:W3CDTF">2026-09-19T08:16:18Z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